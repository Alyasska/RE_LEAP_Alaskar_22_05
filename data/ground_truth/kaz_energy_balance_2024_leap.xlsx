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 Balance" sheetId="1" state="visible" r:id="rId1"/>
    <sheet name="Materiality Analysis" sheetId="2" state="visible" r:id="rId2"/>
    <sheet name="Transformation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0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44444"/>
      <sz val="9"/>
    </font>
    <font>
      <b val="1"/>
      <color rgb="00FFFFFF"/>
    </font>
    <font>
      <sz val="10"/>
    </font>
    <font>
      <i val="1"/>
      <color rgb="00666666"/>
      <sz val="8"/>
    </font>
    <font>
      <color rgb="00000000"/>
      <sz val="10"/>
    </font>
    <font>
      <i val="1"/>
      <color rgb="00555555"/>
      <sz val="8"/>
    </font>
    <font>
      <color rgb="00C00000"/>
      <sz val="10"/>
    </font>
    <font>
      <b val="1"/>
      <sz val="10"/>
    </font>
    <font>
      <b val="1"/>
      <color rgb="00000000"/>
      <sz val="10"/>
    </font>
    <font>
      <b val="1"/>
      <color rgb="00C00000"/>
      <sz val="10"/>
    </font>
    <font>
      <b val="1"/>
      <sz val="9"/>
    </font>
    <font>
      <sz val="9"/>
    </font>
    <font>
      <b val="1"/>
      <color rgb="00FFFFFF"/>
      <sz val="13"/>
    </font>
    <font>
      <b val="1"/>
      <sz val="11"/>
    </font>
    <font>
      <b val="1"/>
      <color rgb="00FFFFFF"/>
      <sz val="11"/>
    </font>
    <font>
      <i val="1"/>
      <color rgb="00555555"/>
      <sz val="9"/>
    </font>
    <font>
      <color rgb="0000700B"/>
      <sz val="10"/>
    </font>
    <font>
      <b val="1"/>
      <color rgb="0000700B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DEEFF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C6E0B4"/>
      </patternFill>
    </fill>
    <fill>
      <patternFill patternType="solid">
        <fgColor rgb="00EBF5E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4" fontId="6" fillId="4" borderId="1" applyAlignment="1" pivotButton="0" quotePrefix="0" xfId="0">
      <alignment horizontal="right"/>
    </xf>
    <xf numFmtId="0" fontId="7" fillId="4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right"/>
    </xf>
    <xf numFmtId="0" fontId="9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right"/>
    </xf>
    <xf numFmtId="4" fontId="8" fillId="5" borderId="1" applyAlignment="1" pivotButton="0" quotePrefix="0" xfId="0">
      <alignment horizontal="right"/>
    </xf>
    <xf numFmtId="4" fontId="10" fillId="5" borderId="1" applyAlignment="1" pivotButton="0" quotePrefix="0" xfId="0">
      <alignment horizontal="right"/>
    </xf>
    <xf numFmtId="0" fontId="7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indent="2"/>
    </xf>
    <xf numFmtId="0" fontId="5" fillId="6" borderId="1" applyAlignment="1" pivotButton="0" quotePrefix="0" xfId="0">
      <alignment horizontal="center" vertical="center" wrapText="1"/>
    </xf>
    <xf numFmtId="4" fontId="6" fillId="6" borderId="1" applyAlignment="1" pivotButton="0" quotePrefix="0" xfId="0">
      <alignment horizontal="right"/>
    </xf>
    <xf numFmtId="4" fontId="8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indent="2"/>
    </xf>
    <xf numFmtId="0" fontId="5" fillId="7" borderId="1" applyAlignment="1" pivotButton="0" quotePrefix="0" xfId="0">
      <alignment horizontal="center" vertical="center" wrapText="1"/>
    </xf>
    <xf numFmtId="4" fontId="6" fillId="7" borderId="1" applyAlignment="1" pivotButton="0" quotePrefix="0" xfId="0">
      <alignment horizontal="right"/>
    </xf>
    <xf numFmtId="4" fontId="8" fillId="7" borderId="1" applyAlignment="1" pivotButton="0" quotePrefix="0" xfId="0">
      <alignment horizontal="right"/>
    </xf>
    <xf numFmtId="4" fontId="11" fillId="7" borderId="1" applyAlignment="1" pivotButton="0" quotePrefix="0" xfId="0">
      <alignment horizontal="right"/>
    </xf>
    <xf numFmtId="0" fontId="7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 wrapText="1"/>
    </xf>
    <xf numFmtId="4" fontId="6" fillId="8" borderId="1" applyAlignment="1" pivotButton="0" quotePrefix="0" xfId="0">
      <alignment horizontal="right"/>
    </xf>
    <xf numFmtId="4" fontId="8" fillId="8" borderId="1" applyAlignment="1" pivotButton="0" quotePrefix="0" xfId="0">
      <alignment horizontal="right"/>
    </xf>
    <xf numFmtId="0" fontId="7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indent="2"/>
    </xf>
    <xf numFmtId="0" fontId="5" fillId="9" borderId="1" applyAlignment="1" pivotButton="0" quotePrefix="0" xfId="0">
      <alignment horizontal="center" vertical="center" wrapText="1"/>
    </xf>
    <xf numFmtId="4" fontId="6" fillId="9" borderId="1" applyAlignment="1" pivotButton="0" quotePrefix="0" xfId="0">
      <alignment horizontal="right"/>
    </xf>
    <xf numFmtId="4" fontId="10" fillId="9" borderId="1" applyAlignment="1" pivotButton="0" quotePrefix="0" xfId="0">
      <alignment horizontal="right"/>
    </xf>
    <xf numFmtId="0" fontId="7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indent="2"/>
    </xf>
    <xf numFmtId="0" fontId="5" fillId="10" borderId="1" applyAlignment="1" pivotButton="0" quotePrefix="0" xfId="0">
      <alignment horizontal="center" vertical="center" wrapText="1"/>
    </xf>
    <xf numFmtId="4" fontId="6" fillId="10" borderId="1" applyAlignment="1" pivotButton="0" quotePrefix="0" xfId="0">
      <alignment horizontal="right"/>
    </xf>
    <xf numFmtId="0" fontId="7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 wrapText="1"/>
    </xf>
    <xf numFmtId="4" fontId="6" fillId="11" borderId="1" applyAlignment="1" pivotButton="0" quotePrefix="0" xfId="0">
      <alignment horizontal="right"/>
    </xf>
    <xf numFmtId="0" fontId="7" fillId="11" borderId="1" applyAlignment="1" pivotButton="0" quotePrefix="0" xfId="0">
      <alignment horizontal="left" vertical="center" wrapText="1"/>
    </xf>
    <xf numFmtId="0" fontId="12" fillId="0" borderId="0" pivotButton="0" quotePrefix="0" xfId="0"/>
    <xf numFmtId="0" fontId="0" fillId="5" borderId="1" pivotButton="0" quotePrefix="0" xfId="0"/>
    <xf numFmtId="0" fontId="13" fillId="0" borderId="0" pivotButton="0" quotePrefix="0" xfId="0"/>
    <xf numFmtId="0" fontId="0" fillId="4" borderId="1" pivotButton="0" quotePrefix="0" xfId="0"/>
    <xf numFmtId="0" fontId="0" fillId="7" borderId="1" pivotButton="0" quotePrefix="0" xfId="0"/>
    <xf numFmtId="0" fontId="0" fillId="6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14" fillId="2" borderId="0" applyAlignment="1" pivotButton="0" quotePrefix="0" xfId="0">
      <alignment horizontal="center"/>
    </xf>
    <xf numFmtId="0" fontId="16" fillId="3" borderId="0" pivotButton="0" quotePrefix="0" xfId="0"/>
    <xf numFmtId="0" fontId="3" fillId="3" borderId="0" applyAlignment="1" pivotButton="0" quotePrefix="0" xfId="0">
      <alignment horizontal="center" wrapText="1"/>
    </xf>
    <xf numFmtId="0" fontId="0" fillId="9" borderId="1" applyAlignment="1" pivotButton="0" quotePrefix="0" xfId="0">
      <alignment horizontal="left" wrapText="1"/>
    </xf>
    <xf numFmtId="4" fontId="0" fillId="9" borderId="1" applyAlignment="1" pivotButton="0" quotePrefix="0" xfId="0">
      <alignment horizontal="right"/>
    </xf>
    <xf numFmtId="164" fontId="0" fillId="9" borderId="1" applyAlignment="1" pivotButton="0" quotePrefix="0" xfId="0">
      <alignment horizontal="right"/>
    </xf>
    <xf numFmtId="0" fontId="0" fillId="8" borderId="1" applyAlignment="1" pivotButton="0" quotePrefix="0" xfId="0">
      <alignment horizontal="left" wrapText="1"/>
    </xf>
    <xf numFmtId="4" fontId="0" fillId="8" borderId="1" applyAlignment="1" pivotButton="0" quotePrefix="0" xfId="0">
      <alignment horizontal="right"/>
    </xf>
    <xf numFmtId="164" fontId="0" fillId="8" borderId="1" applyAlignment="1" pivotButton="0" quotePrefix="0" xfId="0">
      <alignment horizontal="right"/>
    </xf>
    <xf numFmtId="0" fontId="0" fillId="10" borderId="1" applyAlignment="1" pivotButton="0" quotePrefix="0" xfId="0">
      <alignment horizontal="left" wrapText="1"/>
    </xf>
    <xf numFmtId="4" fontId="0" fillId="10" borderId="1" applyAlignment="1" pivotButton="0" quotePrefix="0" xfId="0">
      <alignment horizontal="right"/>
    </xf>
    <xf numFmtId="164" fontId="0" fillId="10" borderId="1" applyAlignment="1" pivotButton="0" quotePrefix="0" xfId="0">
      <alignment horizontal="right"/>
    </xf>
    <xf numFmtId="0" fontId="17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/>
    </xf>
    <xf numFmtId="0" fontId="4" fillId="6" borderId="1" applyAlignment="1" pivotButton="0" quotePrefix="0" xfId="0">
      <alignment horizontal="left" vertical="center"/>
    </xf>
    <xf numFmtId="4" fontId="18" fillId="6" borderId="1" applyAlignment="1" pivotButton="0" quotePrefix="0" xfId="0">
      <alignment horizontal="right"/>
    </xf>
    <xf numFmtId="0" fontId="2" fillId="6" borderId="0" applyAlignment="1" pivotButton="0" quotePrefix="0" xfId="0">
      <alignment horizontal="left" wrapText="1"/>
    </xf>
    <xf numFmtId="0" fontId="9" fillId="7" borderId="1" applyAlignment="1" pivotButton="0" quotePrefix="0" xfId="0">
      <alignment horizontal="left" vertical="center"/>
    </xf>
    <xf numFmtId="4" fontId="10" fillId="7" borderId="1" applyAlignment="1" pivotButton="0" quotePrefix="0" xfId="0">
      <alignment horizontal="right"/>
    </xf>
    <xf numFmtId="4" fontId="19" fillId="7" borderId="1" applyAlignment="1" pivotButton="0" quotePrefix="0" xfId="0">
      <alignment horizontal="right"/>
    </xf>
    <xf numFmtId="0" fontId="2" fillId="7" borderId="0" applyAlignment="1" pivotButton="0" quotePrefix="0" xfId="0">
      <alignment horizontal="left" wrapText="1"/>
    </xf>
    <xf numFmtId="0" fontId="2" fillId="8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52" customWidth="1" min="20" max="20"/>
  </cols>
  <sheetData>
    <row r="1" ht="28" customHeight="1">
      <c r="A1" s="1" t="inlineStr">
        <is>
          <t>Kazakhstan Energy Balance 2024 — LEAP-ready Aggregation</t>
        </is>
      </c>
    </row>
    <row r="2" ht="14" customHeight="1">
      <c r="A2" s="2" t="inlineStr">
        <is>
          <t>Source: EB_non_aggregated sheet  |  Unit: Terajoules (TJ)  |  Sign: supply (+), transformation NET (±), own use/losses (−), FC (+)</t>
        </is>
      </c>
    </row>
    <row r="3" ht="36" customHeight="1">
      <c r="A3" s="3" t="inlineStr">
        <is>
          <t>Flow / Sector</t>
        </is>
      </c>
      <c r="B3" s="4" t="inlineStr">
        <is>
          <t>Section</t>
        </is>
      </c>
      <c r="C3" s="4" t="inlineStr">
        <is>
          <t>Coking Coal</t>
        </is>
      </c>
      <c r="D3" s="4" t="inlineStr">
        <is>
          <t>Steam Coal</t>
        </is>
      </c>
      <c r="E3" s="4" t="inlineStr">
        <is>
          <t>Lignite</t>
        </is>
      </c>
      <c r="F3" s="4" t="inlineStr">
        <is>
          <t>Coke (Oven Coke)</t>
        </is>
      </c>
      <c r="G3" s="4" t="inlineStr">
        <is>
          <t>Coke Oven &amp; BF Gas</t>
        </is>
      </c>
      <c r="H3" s="4" t="inlineStr">
        <is>
          <t>Natural Gas</t>
        </is>
      </c>
      <c r="I3" s="4" t="inlineStr">
        <is>
          <t>Crude Oil</t>
        </is>
      </c>
      <c r="J3" s="4" t="inlineStr">
        <is>
          <t>LPG</t>
        </is>
      </c>
      <c r="K3" s="4" t="inlineStr">
        <is>
          <t>Gasoline</t>
        </is>
      </c>
      <c r="L3" s="4" t="inlineStr">
        <is>
          <t>Jet Fuel</t>
        </is>
      </c>
      <c r="M3" s="4" t="inlineStr">
        <is>
          <t>Diesel / Gas Oil</t>
        </is>
      </c>
      <c r="N3" s="4" t="inlineStr">
        <is>
          <t>Heavy Fuel Oil</t>
        </is>
      </c>
      <c r="O3" s="4" t="inlineStr">
        <is>
          <t>Other Oil Products</t>
        </is>
      </c>
      <c r="P3" s="4" t="inlineStr">
        <is>
          <t>Renewables</t>
        </is>
      </c>
      <c r="Q3" s="4" t="inlineStr">
        <is>
          <t>Electricity</t>
        </is>
      </c>
      <c r="R3" s="4" t="inlineStr">
        <is>
          <t>Heat</t>
        </is>
      </c>
      <c r="S3" s="4" t="inlineStr">
        <is>
          <t>Total</t>
        </is>
      </c>
      <c r="T3" s="5" t="inlineStr">
        <is>
          <t>Notes</t>
        </is>
      </c>
    </row>
    <row r="4" ht="18" customHeight="1">
      <c r="A4" s="6" t="inlineStr">
        <is>
          <t>Production</t>
        </is>
      </c>
      <c r="B4" s="7" t="inlineStr"/>
      <c r="C4" s="8" t="n">
        <v>116786.58</v>
      </c>
      <c r="D4" s="8" t="n">
        <v>1834729.24</v>
      </c>
      <c r="E4" s="8" t="n">
        <v>83700</v>
      </c>
      <c r="F4" s="8" t="n">
        <v>0</v>
      </c>
      <c r="G4" s="8" t="n">
        <v>0</v>
      </c>
      <c r="H4" s="8" t="n">
        <v>1201776.3</v>
      </c>
      <c r="I4" s="8" t="n">
        <v>3500622.51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1715.25</v>
      </c>
      <c r="P4" s="8" t="n">
        <v>65601.67999999999</v>
      </c>
      <c r="Q4" s="8" t="n">
        <v>0</v>
      </c>
      <c r="R4" s="8" t="n">
        <v>0</v>
      </c>
      <c r="S4" s="8" t="n">
        <v>6804931.56</v>
      </c>
      <c r="T4" s="9" t="inlineStr">
        <is>
          <t>Primary energy produced domestically</t>
        </is>
      </c>
    </row>
    <row r="5" ht="18" customHeight="1">
      <c r="A5" s="6" t="inlineStr">
        <is>
          <t>Imports</t>
        </is>
      </c>
      <c r="B5" s="7" t="inlineStr"/>
      <c r="C5" s="8" t="n">
        <v>17983.45</v>
      </c>
      <c r="D5" s="8" t="n">
        <v>1296.79</v>
      </c>
      <c r="E5" s="8" t="n">
        <v>53.48</v>
      </c>
      <c r="F5" s="8" t="n">
        <v>17470.52</v>
      </c>
      <c r="G5" s="8" t="n">
        <v>0</v>
      </c>
      <c r="H5" s="8" t="n">
        <v>182111.02</v>
      </c>
      <c r="I5" s="8" t="n">
        <v>0</v>
      </c>
      <c r="J5" s="8" t="n">
        <v>55.69</v>
      </c>
      <c r="K5" s="8" t="n">
        <v>999.9400000000001</v>
      </c>
      <c r="L5" s="8" t="n">
        <v>7761.14</v>
      </c>
      <c r="M5" s="8" t="n">
        <v>3013.98</v>
      </c>
      <c r="N5" s="8" t="n">
        <v>3553.33</v>
      </c>
      <c r="O5" s="8" t="n">
        <v>35732.1</v>
      </c>
      <c r="P5" s="8" t="n">
        <v>173.82</v>
      </c>
      <c r="Q5" s="8" t="n">
        <v>17416.03</v>
      </c>
      <c r="R5" s="8" t="n">
        <v>0</v>
      </c>
      <c r="S5" s="8" t="n">
        <v>287621.27</v>
      </c>
      <c r="T5" s="9" t="inlineStr">
        <is>
          <t>Cross-border energy inflows</t>
        </is>
      </c>
    </row>
    <row r="6" ht="18" customHeight="1">
      <c r="A6" s="6" t="inlineStr">
        <is>
          <t>Exports</t>
        </is>
      </c>
      <c r="B6" s="7" t="inlineStr"/>
      <c r="C6" s="10" t="n">
        <v>-20472.27</v>
      </c>
      <c r="D6" s="10" t="n">
        <v>-505903.28</v>
      </c>
      <c r="E6" s="10" t="n">
        <v>-32820.8</v>
      </c>
      <c r="F6" s="10" t="n">
        <v>-355.62</v>
      </c>
      <c r="G6" s="8" t="n">
        <v>0</v>
      </c>
      <c r="H6" s="10" t="n">
        <v>-264911.19</v>
      </c>
      <c r="I6" s="10" t="n">
        <v>-2825380.47</v>
      </c>
      <c r="J6" s="10" t="n">
        <v>-40364.64</v>
      </c>
      <c r="K6" s="10" t="n">
        <v>-1638.46</v>
      </c>
      <c r="L6" s="10" t="n">
        <v>-454.68</v>
      </c>
      <c r="M6" s="10" t="n">
        <v>-2739.76</v>
      </c>
      <c r="N6" s="10" t="n">
        <v>-88194.07000000001</v>
      </c>
      <c r="O6" s="10" t="n">
        <v>-10980.07</v>
      </c>
      <c r="P6" s="8" t="n">
        <v>202.41</v>
      </c>
      <c r="Q6" s="10" t="n">
        <v>-8822.23</v>
      </c>
      <c r="R6" s="8" t="n">
        <v>0</v>
      </c>
      <c r="S6" s="10" t="n">
        <v>-3802835.12</v>
      </c>
      <c r="T6" s="9" t="inlineStr">
        <is>
          <t>Cross-border energy outflows (negative)</t>
        </is>
      </c>
    </row>
    <row r="7" ht="18" customHeight="1">
      <c r="A7" s="6" t="inlineStr">
        <is>
          <t>International Bunkers</t>
        </is>
      </c>
      <c r="B7" s="7" t="inlineStr"/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10" t="n">
        <v>-19511.19</v>
      </c>
      <c r="M7" s="8" t="n">
        <v>-6.24</v>
      </c>
      <c r="N7" s="8" t="n">
        <v>0</v>
      </c>
      <c r="O7" s="8" t="n">
        <v>-0.4</v>
      </c>
      <c r="P7" s="8" t="n">
        <v>0</v>
      </c>
      <c r="Q7" s="8" t="n">
        <v>0</v>
      </c>
      <c r="R7" s="8" t="n">
        <v>0</v>
      </c>
      <c r="S7" s="10" t="n">
        <v>-19517.82</v>
      </c>
      <c r="T7" s="9" t="inlineStr">
        <is>
          <t>Fuel for international ships/aircraft</t>
        </is>
      </c>
    </row>
    <row r="8" ht="18" customHeight="1">
      <c r="A8" s="6" t="inlineStr">
        <is>
          <t>Stock Changes</t>
        </is>
      </c>
      <c r="B8" s="7" t="inlineStr"/>
      <c r="C8" s="8" t="n">
        <v>1607.98</v>
      </c>
      <c r="D8" s="10" t="n">
        <v>-35555.06</v>
      </c>
      <c r="E8" s="10" t="n">
        <v>-7141.89</v>
      </c>
      <c r="F8" s="10" t="n">
        <v>-1680.98</v>
      </c>
      <c r="G8" s="8" t="n">
        <v>0</v>
      </c>
      <c r="H8" s="10" t="n">
        <v>-69209.14</v>
      </c>
      <c r="I8" s="10" t="n">
        <v>-11682.22</v>
      </c>
      <c r="J8" s="10" t="n">
        <v>-5322.64</v>
      </c>
      <c r="K8" s="10" t="n">
        <v>-5357.47</v>
      </c>
      <c r="L8" s="10" t="n">
        <v>-2611.69</v>
      </c>
      <c r="M8" s="8" t="n">
        <v>2324.53</v>
      </c>
      <c r="N8" s="10" t="n">
        <v>-5855.24</v>
      </c>
      <c r="O8" s="8" t="n">
        <v>2565.9</v>
      </c>
      <c r="P8" s="8" t="n">
        <v>-12.75</v>
      </c>
      <c r="Q8" s="8" t="n">
        <v>0</v>
      </c>
      <c r="R8" s="8" t="n">
        <v>0</v>
      </c>
      <c r="S8" s="10" t="n">
        <v>-137930.66</v>
      </c>
      <c r="T8" s="9" t="inlineStr">
        <is>
          <t>Drawdown (+) or build-up (−) of inventories</t>
        </is>
      </c>
    </row>
    <row r="9" ht="18" customHeight="1">
      <c r="A9" s="11" t="inlineStr">
        <is>
          <t>Total Primary Energy Supply</t>
        </is>
      </c>
      <c r="B9" s="12" t="inlineStr">
        <is>
          <t>1. SUPPLY</t>
        </is>
      </c>
      <c r="C9" s="13" t="n">
        <v>115905.74</v>
      </c>
      <c r="D9" s="13" t="n">
        <v>1294567.69</v>
      </c>
      <c r="E9" s="13" t="n">
        <v>43790.79</v>
      </c>
      <c r="F9" s="13" t="n">
        <v>15433.92</v>
      </c>
      <c r="G9" s="13" t="n">
        <v>0</v>
      </c>
      <c r="H9" s="13" t="n">
        <v>1049766.99</v>
      </c>
      <c r="I9" s="13" t="n">
        <v>663559.83</v>
      </c>
      <c r="J9" s="14" t="n">
        <v>-45631.59</v>
      </c>
      <c r="K9" s="14" t="n">
        <v>-5995.99</v>
      </c>
      <c r="L9" s="14" t="n">
        <v>-14816.42</v>
      </c>
      <c r="M9" s="13" t="n">
        <v>2592.51</v>
      </c>
      <c r="N9" s="14" t="n">
        <v>-90495.98</v>
      </c>
      <c r="O9" s="13" t="n">
        <v>29032.78</v>
      </c>
      <c r="P9" s="13" t="n">
        <v>65965.14999999999</v>
      </c>
      <c r="Q9" s="13" t="n">
        <v>8593.799999999999</v>
      </c>
      <c r="R9" s="13" t="n">
        <v>0</v>
      </c>
      <c r="S9" s="15" t="n">
        <v>3132269.22</v>
      </c>
      <c r="T9" s="16">
        <f> Production + Imports − Exports ± Stocks ± Transfers</f>
        <v/>
      </c>
    </row>
    <row r="10" ht="18" customHeight="1">
      <c r="A10" s="6" t="inlineStr">
        <is>
          <t>Transfers</t>
        </is>
      </c>
      <c r="B10" s="7" t="inlineStr">
        <is>
          <t>1. SUPPLY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199068.66</v>
      </c>
      <c r="K10" s="8" t="n">
        <v>0</v>
      </c>
      <c r="L10" s="8" t="n">
        <v>0</v>
      </c>
      <c r="M10" s="8" t="n">
        <v>77.40000000000001</v>
      </c>
      <c r="N10" s="8" t="n">
        <v>0.72</v>
      </c>
      <c r="O10" s="8" t="n">
        <v>5129.8</v>
      </c>
      <c r="P10" s="8" t="n">
        <v>0</v>
      </c>
      <c r="Q10" s="8" t="n">
        <v>0</v>
      </c>
      <c r="R10" s="8" t="n">
        <v>0</v>
      </c>
      <c r="S10" s="8" t="n">
        <v>204276.59</v>
      </c>
      <c r="T10" s="9" t="inlineStr">
        <is>
          <t>Inter-product transfers (e.g. NGL reclassification to LPG)</t>
        </is>
      </c>
    </row>
    <row r="11" ht="18" customHeight="1">
      <c r="A11" s="6" t="inlineStr">
        <is>
          <t>Statistical Differences</t>
        </is>
      </c>
      <c r="B11" s="7" t="inlineStr">
        <is>
          <t>1. SUPPLY</t>
        </is>
      </c>
      <c r="C11" s="10" t="n">
        <v>-7260.4</v>
      </c>
      <c r="D11" s="10" t="n">
        <v>-38852.3</v>
      </c>
      <c r="E11" s="8" t="n">
        <v>2097.4</v>
      </c>
      <c r="F11" s="8" t="n">
        <v>661.7</v>
      </c>
      <c r="G11" s="8" t="n">
        <v>0</v>
      </c>
      <c r="H11" s="10" t="n">
        <v>-59303.4</v>
      </c>
      <c r="I11" s="10" t="n">
        <v>-47032</v>
      </c>
      <c r="J11" s="8" t="n">
        <v>3818.21</v>
      </c>
      <c r="K11" s="10" t="n">
        <v>-3867.5</v>
      </c>
      <c r="L11" s="8" t="n">
        <v>790.3</v>
      </c>
      <c r="M11" s="10" t="n">
        <v>-8555.200000000001</v>
      </c>
      <c r="N11" s="10" t="n">
        <v>-22168.6</v>
      </c>
      <c r="O11" s="10" t="n">
        <v>-59206.1</v>
      </c>
      <c r="P11" s="8" t="n">
        <v>155.5</v>
      </c>
      <c r="Q11" s="8" t="n">
        <v>0</v>
      </c>
      <c r="R11" s="8" t="n">
        <v>0.2</v>
      </c>
      <c r="S11" s="10" t="n">
        <v>-238722.19</v>
      </c>
      <c r="T11" s="9" t="inlineStr">
        <is>
          <t>IEA reconciliation item; residual of supply accounting</t>
        </is>
      </c>
    </row>
    <row r="12" ht="18" customHeight="1">
      <c r="A12" s="17" t="inlineStr">
        <is>
          <t>Electricity Plants</t>
        </is>
      </c>
      <c r="B12" s="18" t="inlineStr">
        <is>
          <t>2. TRANSFORMATION (NET)</t>
        </is>
      </c>
      <c r="C12" s="19" t="n">
        <v>0</v>
      </c>
      <c r="D12" s="20" t="n">
        <v>-528.9</v>
      </c>
      <c r="E12" s="19" t="n">
        <v>0</v>
      </c>
      <c r="F12" s="19" t="n">
        <v>0</v>
      </c>
      <c r="G12" s="19" t="n">
        <v>0</v>
      </c>
      <c r="H12" s="20" t="n">
        <v>-210123.1</v>
      </c>
      <c r="I12" s="19" t="n">
        <v>0</v>
      </c>
      <c r="J12" s="19" t="n">
        <v>-7.1</v>
      </c>
      <c r="K12" s="19" t="n">
        <v>0</v>
      </c>
      <c r="L12" s="19" t="n">
        <v>0</v>
      </c>
      <c r="M12" s="20" t="n">
        <v>-946.9</v>
      </c>
      <c r="N12" s="19" t="n">
        <v>-68.2</v>
      </c>
      <c r="O12" s="19" t="n">
        <v>0</v>
      </c>
      <c r="P12" s="20" t="n">
        <v>-63472</v>
      </c>
      <c r="Q12" s="19" t="n">
        <v>120612.9</v>
      </c>
      <c r="R12" s="19" t="n">
        <v>0</v>
      </c>
      <c r="S12" s="20" t="n">
        <v>-154533.3</v>
      </c>
      <c r="T12" s="21" t="inlineStr">
        <is>
          <t>NET: coal/gas consumed (−), electricity output (+)</t>
        </is>
      </c>
    </row>
    <row r="13" ht="18" customHeight="1">
      <c r="A13" s="22" t="inlineStr">
        <is>
          <t>CHP Plants</t>
        </is>
      </c>
      <c r="B13" s="23" t="inlineStr">
        <is>
          <t>2. TRANSFORMATION (NET)</t>
        </is>
      </c>
      <c r="C13" s="24" t="n">
        <v>0</v>
      </c>
      <c r="D13" s="25" t="n">
        <v>-1079702.6</v>
      </c>
      <c r="E13" s="24" t="n">
        <v>0</v>
      </c>
      <c r="F13" s="24" t="n">
        <v>0</v>
      </c>
      <c r="G13" s="24" t="n">
        <v>0</v>
      </c>
      <c r="H13" s="25" t="n">
        <v>-238070.2</v>
      </c>
      <c r="I13" s="24" t="n">
        <v>0</v>
      </c>
      <c r="J13" s="24" t="n">
        <v>-0.5</v>
      </c>
      <c r="K13" s="24" t="n">
        <v>0</v>
      </c>
      <c r="L13" s="24" t="n">
        <v>0</v>
      </c>
      <c r="M13" s="24" t="n">
        <v>-53.8</v>
      </c>
      <c r="N13" s="25" t="n">
        <v>-7450.2</v>
      </c>
      <c r="O13" s="24" t="n">
        <v>0</v>
      </c>
      <c r="P13" s="24" t="n">
        <v>0</v>
      </c>
      <c r="Q13" s="24" t="n">
        <v>306766.8</v>
      </c>
      <c r="R13" s="24" t="n">
        <v>246677.3</v>
      </c>
      <c r="S13" s="26" t="n">
        <v>-771833.2</v>
      </c>
      <c r="T13" s="27" t="inlineStr">
        <is>
          <t>Dominant power+heat source in KZ; 79% of coal in transformation</t>
        </is>
      </c>
    </row>
    <row r="14" ht="18" customHeight="1">
      <c r="A14" s="17" t="inlineStr">
        <is>
          <t>Heat Plants</t>
        </is>
      </c>
      <c r="B14" s="18" t="inlineStr">
        <is>
          <t>2. TRANSFORMATION (NET)</t>
        </is>
      </c>
      <c r="C14" s="19" t="n">
        <v>0</v>
      </c>
      <c r="D14" s="20" t="n">
        <v>-82597.3</v>
      </c>
      <c r="E14" s="20" t="n">
        <v>-3689.1</v>
      </c>
      <c r="F14" s="19" t="n">
        <v>0</v>
      </c>
      <c r="G14" s="19" t="n">
        <v>0</v>
      </c>
      <c r="H14" s="20" t="n">
        <v>-108501.6</v>
      </c>
      <c r="I14" s="19" t="n">
        <v>0</v>
      </c>
      <c r="J14" s="20" t="n">
        <v>-12324.5</v>
      </c>
      <c r="K14" s="19" t="n">
        <v>0</v>
      </c>
      <c r="L14" s="19" t="n">
        <v>0</v>
      </c>
      <c r="M14" s="20" t="n">
        <v>-1019.5</v>
      </c>
      <c r="N14" s="20" t="n">
        <v>-9450.1</v>
      </c>
      <c r="O14" s="19" t="n">
        <v>0</v>
      </c>
      <c r="P14" s="20" t="n">
        <v>-857.7</v>
      </c>
      <c r="Q14" s="19" t="n">
        <v>0</v>
      </c>
      <c r="R14" s="19" t="n">
        <v>149518.2</v>
      </c>
      <c r="S14" s="20" t="n">
        <v>-68921.60000000001</v>
      </c>
      <c r="T14" s="21" t="inlineStr">
        <is>
          <t>District heat boilers (kotelnye)</t>
        </is>
      </c>
    </row>
    <row r="15" ht="18" customHeight="1">
      <c r="A15" s="17" t="inlineStr">
        <is>
          <t>Coal Transformation</t>
        </is>
      </c>
      <c r="B15" s="18" t="inlineStr">
        <is>
          <t>2. TRANSFORMATION (NET)</t>
        </is>
      </c>
      <c r="C15" s="20" t="n">
        <v>-123166.1</v>
      </c>
      <c r="D15" s="19" t="n">
        <v>0</v>
      </c>
      <c r="E15" s="19" t="n">
        <v>0</v>
      </c>
      <c r="F15" s="19" t="n">
        <v>13185.3</v>
      </c>
      <c r="G15" s="19" t="n">
        <v>31684.6</v>
      </c>
      <c r="H15" s="19" t="n">
        <v>0</v>
      </c>
      <c r="I15" s="19" t="n">
        <v>0</v>
      </c>
      <c r="J15" s="19" t="n">
        <v>0</v>
      </c>
      <c r="K15" s="19" t="n">
        <v>0</v>
      </c>
      <c r="L15" s="19" t="n">
        <v>0</v>
      </c>
      <c r="M15" s="19" t="n">
        <v>0</v>
      </c>
      <c r="N15" s="20" t="n">
        <v>-4794.1</v>
      </c>
      <c r="O15" s="19" t="n">
        <v>5496.4</v>
      </c>
      <c r="P15" s="19" t="n">
        <v>0</v>
      </c>
      <c r="Q15" s="19" t="n">
        <v>0</v>
      </c>
      <c r="R15" s="19" t="n">
        <v>0</v>
      </c>
      <c r="S15" s="20" t="n">
        <v>-77593.89999999999</v>
      </c>
      <c r="T15" s="21" t="inlineStr">
        <is>
          <t>NET coking ovens + briquetting; coal in (−), coke+gas out (+)</t>
        </is>
      </c>
    </row>
    <row r="16" ht="18" customHeight="1">
      <c r="A16" s="17" t="inlineStr">
        <is>
          <t>Oil Refineries</t>
        </is>
      </c>
      <c r="B16" s="18" t="inlineStr">
        <is>
          <t>2. TRANSFORMATION (NET)</t>
        </is>
      </c>
      <c r="C16" s="19" t="n">
        <v>0</v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44473.2</v>
      </c>
      <c r="I16" s="20" t="n">
        <v>-700832.7</v>
      </c>
      <c r="J16" s="19" t="n">
        <v>27970.5</v>
      </c>
      <c r="K16" s="19" t="n">
        <v>240839.9</v>
      </c>
      <c r="L16" s="19" t="n">
        <v>32475.3</v>
      </c>
      <c r="M16" s="19" t="n">
        <v>231755.5</v>
      </c>
      <c r="N16" s="19" t="n">
        <v>102052.3</v>
      </c>
      <c r="O16" s="19" t="n">
        <v>16832.4</v>
      </c>
      <c r="P16" s="19" t="n">
        <v>0</v>
      </c>
      <c r="Q16" s="19" t="n">
        <v>0</v>
      </c>
      <c r="R16" s="19" t="n">
        <v>0</v>
      </c>
      <c r="S16" s="20" t="n">
        <v>-4433.6</v>
      </c>
      <c r="T16" s="21" t="inlineStr">
        <is>
          <t>NET: crude in (−), oil products out (+)</t>
        </is>
      </c>
    </row>
    <row r="17" ht="18" customHeight="1">
      <c r="A17" s="17" t="inlineStr">
        <is>
          <t>Gas Processing</t>
        </is>
      </c>
      <c r="B17" s="18" t="inlineStr">
        <is>
          <t>2. TRANSFORMATION (NET)</t>
        </is>
      </c>
      <c r="C17" s="19" t="n">
        <v>0</v>
      </c>
      <c r="D17" s="19" t="n">
        <v>0</v>
      </c>
      <c r="E17" s="19" t="n">
        <v>0</v>
      </c>
      <c r="F17" s="19" t="n">
        <v>0</v>
      </c>
      <c r="G17" s="19" t="n">
        <v>0</v>
      </c>
      <c r="H17" s="19" t="n">
        <v>0</v>
      </c>
      <c r="I17" s="19" t="n">
        <v>0</v>
      </c>
      <c r="J17" s="19" t="n">
        <v>100637.4</v>
      </c>
      <c r="K17" s="19" t="n">
        <v>0</v>
      </c>
      <c r="L17" s="19" t="n">
        <v>0</v>
      </c>
      <c r="M17" s="19" t="n">
        <v>0</v>
      </c>
      <c r="N17" s="19" t="n">
        <v>0</v>
      </c>
      <c r="O17" s="19" t="n">
        <v>0</v>
      </c>
      <c r="P17" s="19" t="n">
        <v>0</v>
      </c>
      <c r="Q17" s="19" t="n">
        <v>0</v>
      </c>
      <c r="R17" s="19" t="n">
        <v>0</v>
      </c>
      <c r="S17" s="19" t="n">
        <v>100637.4</v>
      </c>
      <c r="T17" s="21" t="inlineStr">
        <is>
          <t>LPG/condensate produced from associated gas (feedstock via Transfers)</t>
        </is>
      </c>
    </row>
    <row r="18" ht="18" customHeight="1">
      <c r="A18" s="17" t="inlineStr">
        <is>
          <t>Charcoal Production</t>
        </is>
      </c>
      <c r="B18" s="18" t="inlineStr">
        <is>
          <t>2. TRANSFORMATION (NET)</t>
        </is>
      </c>
      <c r="C18" s="19" t="n">
        <v>0</v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0</v>
      </c>
      <c r="I18" s="19" t="n">
        <v>0</v>
      </c>
      <c r="J18" s="19" t="n">
        <v>0</v>
      </c>
      <c r="K18" s="19" t="n">
        <v>0</v>
      </c>
      <c r="L18" s="19" t="n">
        <v>0</v>
      </c>
      <c r="M18" s="19" t="n">
        <v>0</v>
      </c>
      <c r="N18" s="19" t="n">
        <v>0</v>
      </c>
      <c r="O18" s="19" t="n">
        <v>0</v>
      </c>
      <c r="P18" s="19" t="n">
        <v>-55.6</v>
      </c>
      <c r="Q18" s="19" t="n">
        <v>0</v>
      </c>
      <c r="R18" s="19" t="n">
        <v>0</v>
      </c>
      <c r="S18" s="19" t="n">
        <v>-55.6</v>
      </c>
      <c r="T18" s="21" t="inlineStr">
        <is>
          <t>Small: 159 TJ in → 104 TJ out; kept for IEA comparability</t>
        </is>
      </c>
    </row>
    <row r="19" ht="18" customHeight="1">
      <c r="A19" s="17" t="inlineStr">
        <is>
          <t>Non-specified Transform</t>
        </is>
      </c>
      <c r="B19" s="18" t="inlineStr">
        <is>
          <t>2. TRANSFORMATION (NET)</t>
        </is>
      </c>
      <c r="C19" s="19" t="n">
        <v>0</v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0</v>
      </c>
      <c r="O19" s="19" t="n">
        <v>0</v>
      </c>
      <c r="P19" s="19" t="n">
        <v>0</v>
      </c>
      <c r="Q19" s="19" t="n">
        <v>0</v>
      </c>
      <c r="R19" s="19" t="n">
        <v>0</v>
      </c>
      <c r="S19" s="19" t="n">
        <v>0</v>
      </c>
      <c r="T19" s="21" t="inlineStr">
        <is>
          <t>Residual transformation not classified above</t>
        </is>
      </c>
    </row>
    <row r="20" ht="18" customHeight="1">
      <c r="A20" s="28" t="inlineStr">
        <is>
          <t>Energy Industry Own Use</t>
        </is>
      </c>
      <c r="B20" s="29" t="inlineStr">
        <is>
          <t>3. ENERGY SECTOR</t>
        </is>
      </c>
      <c r="C20" s="30" t="n">
        <v>0</v>
      </c>
      <c r="D20" s="31" t="n">
        <v>-3819.1</v>
      </c>
      <c r="E20" s="31" t="n">
        <v>-4266.09</v>
      </c>
      <c r="F20" s="30" t="n">
        <v>0</v>
      </c>
      <c r="G20" s="31" t="n">
        <v>-22279.55</v>
      </c>
      <c r="H20" s="31" t="n">
        <v>-171255.17</v>
      </c>
      <c r="I20" s="31" t="n">
        <v>-3665.18</v>
      </c>
      <c r="J20" s="31" t="n">
        <v>-322.92</v>
      </c>
      <c r="K20" s="31" t="n">
        <v>-756.27</v>
      </c>
      <c r="L20" s="31" t="n">
        <v>-120.44</v>
      </c>
      <c r="M20" s="31" t="n">
        <v>-4111.3</v>
      </c>
      <c r="N20" s="31" t="n">
        <v>-934.28</v>
      </c>
      <c r="O20" s="31" t="n">
        <v>-3759.35</v>
      </c>
      <c r="P20" s="30" t="n">
        <v>0</v>
      </c>
      <c r="Q20" s="31" t="n">
        <v>-92181.88</v>
      </c>
      <c r="R20" s="31" t="n">
        <v>-49315.81</v>
      </c>
      <c r="S20" s="31" t="n">
        <v>-356787.33</v>
      </c>
      <c r="T20" s="32" t="inlineStr">
        <is>
          <t>Fuel consumed by energy sector itself (negative in balance)</t>
        </is>
      </c>
    </row>
    <row r="21" ht="18" customHeight="1">
      <c r="A21" s="28" t="inlineStr">
        <is>
          <t>Distribution Losses</t>
        </is>
      </c>
      <c r="B21" s="29" t="inlineStr">
        <is>
          <t>3. ENERGY SECTOR</t>
        </is>
      </c>
      <c r="C21" s="30" t="n">
        <v>0</v>
      </c>
      <c r="D21" s="31" t="n">
        <v>-401</v>
      </c>
      <c r="E21" s="31" t="n">
        <v>-121.9</v>
      </c>
      <c r="F21" s="30" t="n">
        <v>-78.90000000000001</v>
      </c>
      <c r="G21" s="31" t="n">
        <v>-2180.8</v>
      </c>
      <c r="H21" s="31" t="n">
        <v>-21214.3</v>
      </c>
      <c r="I21" s="31" t="n">
        <v>-6046.2</v>
      </c>
      <c r="J21" s="31" t="n">
        <v>-1311.8</v>
      </c>
      <c r="K21" s="31" t="n">
        <v>-1343.5</v>
      </c>
      <c r="L21" s="30" t="n">
        <v>-13.4</v>
      </c>
      <c r="M21" s="31" t="n">
        <v>-244.5</v>
      </c>
      <c r="N21" s="30" t="n">
        <v>-0.8</v>
      </c>
      <c r="O21" s="31" t="n">
        <v>-317.4</v>
      </c>
      <c r="P21" s="30" t="n">
        <v>-0.1</v>
      </c>
      <c r="Q21" s="31" t="n">
        <v>-37332.6</v>
      </c>
      <c r="R21" s="31" t="n">
        <v>-31573.9</v>
      </c>
      <c r="S21" s="31" t="n">
        <v>-102181.1</v>
      </c>
      <c r="T21" s="32" t="inlineStr">
        <is>
          <t>Grid/pipeline transmission losses (negative in balance)</t>
        </is>
      </c>
    </row>
    <row r="22" ht="18" customHeight="1">
      <c r="A22" s="33" t="inlineStr">
        <is>
          <t>Iron and Steel</t>
        </is>
      </c>
      <c r="B22" s="34" t="inlineStr">
        <is>
          <t>4. FC — INDUSTRY</t>
        </is>
      </c>
      <c r="C22" s="35" t="n">
        <v>0</v>
      </c>
      <c r="D22" s="35" t="n">
        <v>24683.53</v>
      </c>
      <c r="E22" s="35" t="n">
        <v>0</v>
      </c>
      <c r="F22" s="35" t="n">
        <v>20313.81</v>
      </c>
      <c r="G22" s="35" t="n">
        <v>7224.26</v>
      </c>
      <c r="H22" s="35" t="n">
        <v>14541.36</v>
      </c>
      <c r="I22" s="35" t="n">
        <v>0</v>
      </c>
      <c r="J22" s="35" t="n">
        <v>1546.14</v>
      </c>
      <c r="K22" s="35" t="n">
        <v>0</v>
      </c>
      <c r="L22" s="35" t="n">
        <v>0</v>
      </c>
      <c r="M22" s="35" t="n">
        <v>1682.42</v>
      </c>
      <c r="N22" s="35" t="n">
        <v>3245.29</v>
      </c>
      <c r="O22" s="35" t="n">
        <v>0</v>
      </c>
      <c r="P22" s="35" t="n">
        <v>0.34</v>
      </c>
      <c r="Q22" s="35" t="n">
        <v>47300.94</v>
      </c>
      <c r="R22" s="35" t="n">
        <v>18856.3</v>
      </c>
      <c r="S22" s="36" t="n">
        <v>139394.4</v>
      </c>
      <c r="T22" s="37" t="inlineStr">
        <is>
          <t>7.5% FC; Temirtau (ArcelorMittal) + Karaganda steel</t>
        </is>
      </c>
    </row>
    <row r="23" ht="18" customHeight="1">
      <c r="A23" s="38" t="inlineStr">
        <is>
          <t>Chemical and Petrochemical</t>
        </is>
      </c>
      <c r="B23" s="39" t="inlineStr">
        <is>
          <t>4. FC — INDUSTRY</t>
        </is>
      </c>
      <c r="C23" s="40" t="n">
        <v>0</v>
      </c>
      <c r="D23" s="40" t="n">
        <v>242.57</v>
      </c>
      <c r="E23" s="40" t="n">
        <v>0.1</v>
      </c>
      <c r="F23" s="40" t="n">
        <v>6141.16</v>
      </c>
      <c r="G23" s="40" t="n">
        <v>0</v>
      </c>
      <c r="H23" s="40" t="n">
        <v>21095.35</v>
      </c>
      <c r="I23" s="40" t="n">
        <v>0</v>
      </c>
      <c r="J23" s="40" t="n">
        <v>67.39</v>
      </c>
      <c r="K23" s="40" t="n">
        <v>0</v>
      </c>
      <c r="L23" s="40" t="n">
        <v>0</v>
      </c>
      <c r="M23" s="40" t="n">
        <v>479.54</v>
      </c>
      <c r="N23" s="40" t="n">
        <v>369.61</v>
      </c>
      <c r="O23" s="40" t="n">
        <v>0</v>
      </c>
      <c r="P23" s="40" t="n">
        <v>0.06</v>
      </c>
      <c r="Q23" s="40" t="n">
        <v>13327.76</v>
      </c>
      <c r="R23" s="40" t="n">
        <v>6683.67</v>
      </c>
      <c r="S23" s="40" t="n">
        <v>48407.21</v>
      </c>
      <c r="T23" s="41" t="inlineStr">
        <is>
          <t>2.6% FC; petrochemicals, fertilisers</t>
        </is>
      </c>
    </row>
    <row r="24" ht="18" customHeight="1">
      <c r="A24" s="38" t="inlineStr">
        <is>
          <t>Non-ferrous Metals</t>
        </is>
      </c>
      <c r="B24" s="39" t="inlineStr">
        <is>
          <t>4. FC — INDUSTRY</t>
        </is>
      </c>
      <c r="C24" s="40" t="n">
        <v>0</v>
      </c>
      <c r="D24" s="40" t="n">
        <v>0</v>
      </c>
      <c r="E24" s="40" t="n">
        <v>0</v>
      </c>
      <c r="F24" s="40" t="n">
        <v>0</v>
      </c>
      <c r="G24" s="40" t="n">
        <v>0</v>
      </c>
      <c r="H24" s="40" t="n">
        <v>0</v>
      </c>
      <c r="I24" s="40" t="n">
        <v>0</v>
      </c>
      <c r="J24" s="40" t="n">
        <v>0</v>
      </c>
      <c r="K24" s="40" t="n">
        <v>0.04</v>
      </c>
      <c r="L24" s="40" t="n">
        <v>0</v>
      </c>
      <c r="M24" s="40" t="n">
        <v>1838.08</v>
      </c>
      <c r="N24" s="40" t="n">
        <v>2368.18</v>
      </c>
      <c r="O24" s="40" t="n">
        <v>0</v>
      </c>
      <c r="P24" s="40" t="n">
        <v>3.18</v>
      </c>
      <c r="Q24" s="40" t="n">
        <v>33659.85</v>
      </c>
      <c r="R24" s="40" t="n">
        <v>7008.61</v>
      </c>
      <c r="S24" s="40" t="n">
        <v>44877.94</v>
      </c>
      <c r="T24" s="41" t="inlineStr">
        <is>
          <t>2.4% FC; copper (Kazakhmys), aluminium</t>
        </is>
      </c>
    </row>
    <row r="25" ht="18" customHeight="1">
      <c r="A25" s="33" t="inlineStr">
        <is>
          <t>Non-metallic Minerals</t>
        </is>
      </c>
      <c r="B25" s="34" t="inlineStr">
        <is>
          <t>4. FC — INDUSTRY</t>
        </is>
      </c>
      <c r="C25" s="35" t="n">
        <v>0</v>
      </c>
      <c r="D25" s="35" t="n">
        <v>32207.68</v>
      </c>
      <c r="E25" s="35" t="n">
        <v>44.21</v>
      </c>
      <c r="F25" s="35" t="n">
        <v>610.01</v>
      </c>
      <c r="G25" s="35" t="n">
        <v>0</v>
      </c>
      <c r="H25" s="35" t="n">
        <v>10508.09</v>
      </c>
      <c r="I25" s="35" t="n">
        <v>0</v>
      </c>
      <c r="J25" s="35" t="n">
        <v>951.72</v>
      </c>
      <c r="K25" s="35" t="n">
        <v>0</v>
      </c>
      <c r="L25" s="35" t="n">
        <v>0</v>
      </c>
      <c r="M25" s="35" t="n">
        <v>4642.71</v>
      </c>
      <c r="N25" s="35" t="n">
        <v>283.81</v>
      </c>
      <c r="O25" s="35" t="n">
        <v>0</v>
      </c>
      <c r="P25" s="35" t="n">
        <v>0</v>
      </c>
      <c r="Q25" s="35" t="n">
        <v>8578.219999999999</v>
      </c>
      <c r="R25" s="35" t="n">
        <v>1899.22</v>
      </c>
      <c r="S25" s="36" t="n">
        <v>59725.66</v>
      </c>
      <c r="T25" s="37" t="inlineStr">
        <is>
          <t>3.2% FC; cement, glass</t>
        </is>
      </c>
    </row>
    <row r="26" ht="18" customHeight="1">
      <c r="A26" s="38" t="inlineStr">
        <is>
          <t>Transport Equipment</t>
        </is>
      </c>
      <c r="B26" s="39" t="inlineStr">
        <is>
          <t>4. FC — INDUSTRY</t>
        </is>
      </c>
      <c r="C26" s="40" t="n">
        <v>0</v>
      </c>
      <c r="D26" s="40" t="n">
        <v>90.59</v>
      </c>
      <c r="E26" s="40" t="n">
        <v>8.56</v>
      </c>
      <c r="F26" s="40" t="n">
        <v>0</v>
      </c>
      <c r="G26" s="40" t="n">
        <v>0</v>
      </c>
      <c r="H26" s="40" t="n">
        <v>509.56</v>
      </c>
      <c r="I26" s="40" t="n">
        <v>0</v>
      </c>
      <c r="J26" s="40" t="n">
        <v>0.33</v>
      </c>
      <c r="K26" s="40" t="n">
        <v>0</v>
      </c>
      <c r="L26" s="40" t="n">
        <v>0</v>
      </c>
      <c r="M26" s="40" t="n">
        <v>130.5</v>
      </c>
      <c r="N26" s="40" t="n">
        <v>0</v>
      </c>
      <c r="O26" s="40" t="n">
        <v>0</v>
      </c>
      <c r="P26" s="40" t="n">
        <v>0</v>
      </c>
      <c r="Q26" s="40" t="n">
        <v>309.41</v>
      </c>
      <c r="R26" s="40" t="n">
        <v>273.09</v>
      </c>
      <c r="S26" s="40" t="n">
        <v>1322.04</v>
      </c>
      <c r="T26" s="41" t="inlineStr">
        <is>
          <t>0.1% FC; vehicle manufacturing; kept for IEA comparability</t>
        </is>
      </c>
    </row>
    <row r="27" ht="18" customHeight="1">
      <c r="A27" s="38" t="inlineStr">
        <is>
          <t>Machinery</t>
        </is>
      </c>
      <c r="B27" s="39" t="inlineStr">
        <is>
          <t>4. FC — INDUSTRY</t>
        </is>
      </c>
      <c r="C27" s="40" t="n">
        <v>0</v>
      </c>
      <c r="D27" s="40" t="n">
        <v>0</v>
      </c>
      <c r="E27" s="40" t="n">
        <v>0</v>
      </c>
      <c r="F27" s="40" t="n">
        <v>0</v>
      </c>
      <c r="G27" s="40" t="n">
        <v>0</v>
      </c>
      <c r="H27" s="40" t="n">
        <v>1058.74</v>
      </c>
      <c r="I27" s="40" t="n">
        <v>0</v>
      </c>
      <c r="J27" s="40" t="n">
        <v>77.65000000000001</v>
      </c>
      <c r="K27" s="40" t="n">
        <v>0</v>
      </c>
      <c r="L27" s="40" t="n">
        <v>0</v>
      </c>
      <c r="M27" s="40" t="n">
        <v>398.09</v>
      </c>
      <c r="N27" s="40" t="n">
        <v>85.27</v>
      </c>
      <c r="O27" s="40" t="n">
        <v>0</v>
      </c>
      <c r="P27" s="40" t="n">
        <v>5.8</v>
      </c>
      <c r="Q27" s="40" t="n">
        <v>2652.7</v>
      </c>
      <c r="R27" s="40" t="n">
        <v>1718.45</v>
      </c>
      <c r="S27" s="40" t="n">
        <v>5996.7</v>
      </c>
      <c r="T27" s="41" t="inlineStr">
        <is>
          <t>0.3% FC; equipment manufacturing</t>
        </is>
      </c>
    </row>
    <row r="28" ht="18" customHeight="1">
      <c r="A28" s="33" t="inlineStr">
        <is>
          <t>Mining and Quarrying</t>
        </is>
      </c>
      <c r="B28" s="34" t="inlineStr">
        <is>
          <t>4. FC — INDUSTRY</t>
        </is>
      </c>
      <c r="C28" s="35" t="n">
        <v>0</v>
      </c>
      <c r="D28" s="35" t="n">
        <v>1561.08</v>
      </c>
      <c r="E28" s="35" t="n">
        <v>454.54</v>
      </c>
      <c r="F28" s="35" t="n">
        <v>797.08</v>
      </c>
      <c r="G28" s="35" t="n">
        <v>0</v>
      </c>
      <c r="H28" s="35" t="n">
        <v>7851.32</v>
      </c>
      <c r="I28" s="35" t="n">
        <v>0</v>
      </c>
      <c r="J28" s="35" t="n">
        <v>70.26000000000001</v>
      </c>
      <c r="K28" s="35" t="n">
        <v>0.4</v>
      </c>
      <c r="L28" s="35" t="n">
        <v>0</v>
      </c>
      <c r="M28" s="35" t="n">
        <v>13200.01</v>
      </c>
      <c r="N28" s="35" t="n">
        <v>213.59</v>
      </c>
      <c r="O28" s="35" t="n">
        <v>0</v>
      </c>
      <c r="P28" s="35" t="n">
        <v>0.21</v>
      </c>
      <c r="Q28" s="35" t="n">
        <v>30503.46</v>
      </c>
      <c r="R28" s="35" t="n">
        <v>6060.25</v>
      </c>
      <c r="S28" s="36" t="n">
        <v>60712.21</v>
      </c>
      <c r="T28" s="37" t="inlineStr">
        <is>
          <t>3.2% FC; coal mines, ore extraction</t>
        </is>
      </c>
    </row>
    <row r="29" ht="18" customHeight="1">
      <c r="A29" s="38" t="inlineStr">
        <is>
          <t>Food and Tobacco</t>
        </is>
      </c>
      <c r="B29" s="39" t="inlineStr">
        <is>
          <t>4. FC — INDUSTRY</t>
        </is>
      </c>
      <c r="C29" s="40" t="n">
        <v>0</v>
      </c>
      <c r="D29" s="40" t="n">
        <v>950.88</v>
      </c>
      <c r="E29" s="40" t="n">
        <v>411.12</v>
      </c>
      <c r="F29" s="40" t="n">
        <v>16.38</v>
      </c>
      <c r="G29" s="40" t="n">
        <v>0</v>
      </c>
      <c r="H29" s="40" t="n">
        <v>10128.63</v>
      </c>
      <c r="I29" s="40" t="n">
        <v>0</v>
      </c>
      <c r="J29" s="40" t="n">
        <v>1592.61</v>
      </c>
      <c r="K29" s="40" t="n">
        <v>16.25</v>
      </c>
      <c r="L29" s="40" t="n">
        <v>0</v>
      </c>
      <c r="M29" s="40" t="n">
        <v>1533.08</v>
      </c>
      <c r="N29" s="40" t="n">
        <v>538.65</v>
      </c>
      <c r="O29" s="40" t="n">
        <v>0</v>
      </c>
      <c r="P29" s="40" t="n">
        <v>231.1</v>
      </c>
      <c r="Q29" s="40" t="n">
        <v>7117.55</v>
      </c>
      <c r="R29" s="40" t="n">
        <v>6409.01</v>
      </c>
      <c r="S29" s="40" t="n">
        <v>28945.27</v>
      </c>
      <c r="T29" s="41" t="inlineStr">
        <is>
          <t>1.5% FC; food processing industry</t>
        </is>
      </c>
    </row>
    <row r="30" ht="18" customHeight="1">
      <c r="A30" s="38" t="inlineStr">
        <is>
          <t>Paper, Pulp and Print</t>
        </is>
      </c>
      <c r="B30" s="39" t="inlineStr">
        <is>
          <t>4. FC — INDUSTRY</t>
        </is>
      </c>
      <c r="C30" s="40" t="n">
        <v>0</v>
      </c>
      <c r="D30" s="40" t="n">
        <v>19.58</v>
      </c>
      <c r="E30" s="40" t="n">
        <v>0</v>
      </c>
      <c r="F30" s="40" t="n">
        <v>0</v>
      </c>
      <c r="G30" s="40" t="n">
        <v>0</v>
      </c>
      <c r="H30" s="40" t="n">
        <v>1299.84</v>
      </c>
      <c r="I30" s="40" t="n">
        <v>0</v>
      </c>
      <c r="J30" s="40" t="n">
        <v>41.58</v>
      </c>
      <c r="K30" s="40" t="n">
        <v>0</v>
      </c>
      <c r="L30" s="40" t="n">
        <v>0</v>
      </c>
      <c r="M30" s="40" t="n">
        <v>96.45</v>
      </c>
      <c r="N30" s="40" t="n">
        <v>65.84999999999999</v>
      </c>
      <c r="O30" s="40" t="n">
        <v>0</v>
      </c>
      <c r="P30" s="40" t="n">
        <v>0</v>
      </c>
      <c r="Q30" s="40" t="n">
        <v>791.99</v>
      </c>
      <c r="R30" s="40" t="n">
        <v>817.0700000000001</v>
      </c>
      <c r="S30" s="40" t="n">
        <v>3132.35</v>
      </c>
      <c r="T30" s="41" t="inlineStr">
        <is>
          <t>0.2% FC; small in KZ</t>
        </is>
      </c>
    </row>
    <row r="31" ht="18" customHeight="1">
      <c r="A31" s="38" t="inlineStr">
        <is>
          <t>Wood and Wood Products</t>
        </is>
      </c>
      <c r="B31" s="39" t="inlineStr">
        <is>
          <t>4. FC — INDUSTRY</t>
        </is>
      </c>
      <c r="C31" s="40" t="n">
        <v>0</v>
      </c>
      <c r="D31" s="40" t="n">
        <v>0</v>
      </c>
      <c r="E31" s="40" t="n">
        <v>0</v>
      </c>
      <c r="F31" s="40" t="n">
        <v>0</v>
      </c>
      <c r="G31" s="40" t="n">
        <v>0</v>
      </c>
      <c r="H31" s="40" t="n">
        <v>0</v>
      </c>
      <c r="I31" s="40" t="n">
        <v>0</v>
      </c>
      <c r="J31" s="40" t="n">
        <v>0</v>
      </c>
      <c r="K31" s="40" t="n">
        <v>0</v>
      </c>
      <c r="L31" s="40" t="n">
        <v>0</v>
      </c>
      <c r="M31" s="40" t="n">
        <v>49.36</v>
      </c>
      <c r="N31" s="40" t="n">
        <v>0</v>
      </c>
      <c r="O31" s="40" t="n">
        <v>0</v>
      </c>
      <c r="P31" s="40" t="n">
        <v>28.35</v>
      </c>
      <c r="Q31" s="40" t="n">
        <v>67.15000000000001</v>
      </c>
      <c r="R31" s="40" t="n">
        <v>19.63</v>
      </c>
      <c r="S31" s="40" t="n">
        <v>164.49</v>
      </c>
      <c r="T31" s="41" t="inlineStr">
        <is>
          <t>0.0% FC; negligible in KZ</t>
        </is>
      </c>
    </row>
    <row r="32" ht="18" customHeight="1">
      <c r="A32" s="38" t="inlineStr">
        <is>
          <t>Construction</t>
        </is>
      </c>
      <c r="B32" s="39" t="inlineStr">
        <is>
          <t>4. FC — INDUSTRY</t>
        </is>
      </c>
      <c r="C32" s="40" t="n">
        <v>0</v>
      </c>
      <c r="D32" s="40" t="n">
        <v>1135.82</v>
      </c>
      <c r="E32" s="40" t="n">
        <v>11.16</v>
      </c>
      <c r="F32" s="40" t="n">
        <v>0</v>
      </c>
      <c r="G32" s="40" t="n">
        <v>0</v>
      </c>
      <c r="H32" s="40" t="n">
        <v>2472.87</v>
      </c>
      <c r="I32" s="40" t="n">
        <v>0</v>
      </c>
      <c r="J32" s="40" t="n">
        <v>406.21</v>
      </c>
      <c r="K32" s="40" t="n">
        <v>33.57</v>
      </c>
      <c r="L32" s="40" t="n">
        <v>0</v>
      </c>
      <c r="M32" s="40" t="n">
        <v>5479.83</v>
      </c>
      <c r="N32" s="40" t="n">
        <v>895.17</v>
      </c>
      <c r="O32" s="40" t="n">
        <v>0</v>
      </c>
      <c r="P32" s="40" t="n">
        <v>3.49</v>
      </c>
      <c r="Q32" s="40" t="n">
        <v>7631.99</v>
      </c>
      <c r="R32" s="40" t="n">
        <v>1361.38</v>
      </c>
      <c r="S32" s="40" t="n">
        <v>19431.49</v>
      </c>
      <c r="T32" s="41" t="inlineStr">
        <is>
          <t>1.0% FC; construction machinery and site offices</t>
        </is>
      </c>
    </row>
    <row r="33" ht="18" customHeight="1">
      <c r="A33" s="38" t="inlineStr">
        <is>
          <t>Textile and Leather</t>
        </is>
      </c>
      <c r="B33" s="39" t="inlineStr">
        <is>
          <t>4. FC — INDUSTRY</t>
        </is>
      </c>
      <c r="C33" s="40" t="n">
        <v>0</v>
      </c>
      <c r="D33" s="40" t="n">
        <v>0</v>
      </c>
      <c r="E33" s="40" t="n">
        <v>0</v>
      </c>
      <c r="F33" s="40" t="n">
        <v>0</v>
      </c>
      <c r="G33" s="40" t="n">
        <v>0</v>
      </c>
      <c r="H33" s="40" t="n">
        <v>0</v>
      </c>
      <c r="I33" s="40" t="n">
        <v>0</v>
      </c>
      <c r="J33" s="40" t="n">
        <v>0</v>
      </c>
      <c r="K33" s="40" t="n">
        <v>0</v>
      </c>
      <c r="L33" s="40" t="n">
        <v>0</v>
      </c>
      <c r="M33" s="40" t="n">
        <v>0</v>
      </c>
      <c r="N33" s="40" t="n">
        <v>0</v>
      </c>
      <c r="O33" s="40" t="n">
        <v>0</v>
      </c>
      <c r="P33" s="40" t="n">
        <v>0</v>
      </c>
      <c r="Q33" s="40" t="n">
        <v>517.54</v>
      </c>
      <c r="R33" s="40" t="n">
        <v>89.43000000000001</v>
      </c>
      <c r="S33" s="40" t="n">
        <v>606.97</v>
      </c>
      <c r="T33" s="41" t="inlineStr">
        <is>
          <t>0.0% FC; negligible in KZ</t>
        </is>
      </c>
    </row>
    <row r="34" ht="18" customHeight="1">
      <c r="A34" s="38" t="inlineStr">
        <is>
          <t>Non-specified Industry</t>
        </is>
      </c>
      <c r="B34" s="39" t="inlineStr">
        <is>
          <t>4. FC — INDUSTRY</t>
        </is>
      </c>
      <c r="C34" s="40" t="n">
        <v>0</v>
      </c>
      <c r="D34" s="40" t="n">
        <v>119.48</v>
      </c>
      <c r="E34" s="40" t="n">
        <v>2.35</v>
      </c>
      <c r="F34" s="40" t="n">
        <v>0</v>
      </c>
      <c r="G34" s="40" t="n">
        <v>0</v>
      </c>
      <c r="H34" s="40" t="n">
        <v>442.08</v>
      </c>
      <c r="I34" s="40" t="n">
        <v>0</v>
      </c>
      <c r="J34" s="40" t="n">
        <v>27</v>
      </c>
      <c r="K34" s="40" t="n">
        <v>0.31</v>
      </c>
      <c r="L34" s="40" t="n">
        <v>0</v>
      </c>
      <c r="M34" s="40" t="n">
        <v>0</v>
      </c>
      <c r="N34" s="40" t="n">
        <v>0</v>
      </c>
      <c r="O34" s="40" t="n">
        <v>0</v>
      </c>
      <c r="P34" s="40" t="n">
        <v>15.04</v>
      </c>
      <c r="Q34" s="40" t="n">
        <v>741.64</v>
      </c>
      <c r="R34" s="40" t="n">
        <v>372</v>
      </c>
      <c r="S34" s="40" t="n">
        <v>1719.9</v>
      </c>
      <c r="T34" s="41" t="inlineStr">
        <is>
          <t>0.1% FC; unclassified industrial consumption</t>
        </is>
      </c>
    </row>
    <row r="35" ht="18" customHeight="1">
      <c r="A35" s="38" t="inlineStr">
        <is>
          <t>Aviation</t>
        </is>
      </c>
      <c r="B35" s="39" t="inlineStr">
        <is>
          <t>5. FC — TRANSPORT</t>
        </is>
      </c>
      <c r="C35" s="40" t="n">
        <v>0</v>
      </c>
      <c r="D35" s="40" t="n">
        <v>0</v>
      </c>
      <c r="E35" s="40" t="n">
        <v>0</v>
      </c>
      <c r="F35" s="40" t="n">
        <v>0</v>
      </c>
      <c r="G35" s="40" t="n">
        <v>0</v>
      </c>
      <c r="H35" s="40" t="n">
        <v>0</v>
      </c>
      <c r="I35" s="40" t="n">
        <v>0</v>
      </c>
      <c r="J35" s="40" t="n">
        <v>0</v>
      </c>
      <c r="K35" s="40" t="n">
        <v>643.1</v>
      </c>
      <c r="L35" s="40" t="n">
        <v>16479.9</v>
      </c>
      <c r="M35" s="40" t="n">
        <v>0</v>
      </c>
      <c r="N35" s="40" t="n">
        <v>0</v>
      </c>
      <c r="O35" s="40" t="n">
        <v>0</v>
      </c>
      <c r="P35" s="40" t="n">
        <v>0</v>
      </c>
      <c r="Q35" s="40" t="n">
        <v>0</v>
      </c>
      <c r="R35" s="40" t="n">
        <v>0</v>
      </c>
      <c r="S35" s="40" t="n">
        <v>17123</v>
      </c>
      <c r="T35" s="41" t="inlineStr">
        <is>
          <t>0.9% FC; domestic aviation only (jet kerosene + jet gasoline)</t>
        </is>
      </c>
    </row>
    <row r="36" ht="18" customHeight="1">
      <c r="A36" s="33" t="inlineStr">
        <is>
          <t>Road</t>
        </is>
      </c>
      <c r="B36" s="34" t="inlineStr">
        <is>
          <t>5. FC — TRANSPORT</t>
        </is>
      </c>
      <c r="C36" s="35" t="n">
        <v>0</v>
      </c>
      <c r="D36" s="35" t="n">
        <v>0</v>
      </c>
      <c r="E36" s="35" t="n">
        <v>0</v>
      </c>
      <c r="F36" s="35" t="n">
        <v>0</v>
      </c>
      <c r="G36" s="35" t="n">
        <v>0</v>
      </c>
      <c r="H36" s="35" t="n">
        <v>5615.8</v>
      </c>
      <c r="I36" s="35" t="n">
        <v>0</v>
      </c>
      <c r="J36" s="35" t="n">
        <v>16406.6</v>
      </c>
      <c r="K36" s="35" t="n">
        <v>232786.6</v>
      </c>
      <c r="L36" s="35" t="n">
        <v>0</v>
      </c>
      <c r="M36" s="35" t="n">
        <v>106329.5</v>
      </c>
      <c r="N36" s="35" t="n">
        <v>0</v>
      </c>
      <c r="O36" s="35" t="n">
        <v>0</v>
      </c>
      <c r="P36" s="35" t="n">
        <v>0</v>
      </c>
      <c r="Q36" s="35" t="n">
        <v>149.5</v>
      </c>
      <c r="R36" s="35" t="n">
        <v>0</v>
      </c>
      <c r="S36" s="36" t="n">
        <v>361288</v>
      </c>
      <c r="T36" s="37" t="inlineStr">
        <is>
          <t>19.3% FC; dominant transport mode (gasoline + diesel + LPG autogas)</t>
        </is>
      </c>
    </row>
    <row r="37" ht="18" customHeight="1">
      <c r="A37" s="33" t="inlineStr">
        <is>
          <t>Rail</t>
        </is>
      </c>
      <c r="B37" s="34" t="inlineStr">
        <is>
          <t>5. FC — TRANSPORT</t>
        </is>
      </c>
      <c r="C37" s="35" t="n">
        <v>0</v>
      </c>
      <c r="D37" s="35" t="n">
        <v>591.8</v>
      </c>
      <c r="E37" s="35" t="n">
        <v>0</v>
      </c>
      <c r="F37" s="35" t="n">
        <v>0</v>
      </c>
      <c r="G37" s="35" t="n">
        <v>0</v>
      </c>
      <c r="H37" s="35" t="n">
        <v>0</v>
      </c>
      <c r="I37" s="35" t="n">
        <v>0</v>
      </c>
      <c r="J37" s="35" t="n">
        <v>0</v>
      </c>
      <c r="K37" s="35" t="n">
        <v>0</v>
      </c>
      <c r="L37" s="35" t="n">
        <v>0</v>
      </c>
      <c r="M37" s="35" t="n">
        <v>62590.9</v>
      </c>
      <c r="N37" s="35" t="n">
        <v>0</v>
      </c>
      <c r="O37" s="35" t="n">
        <v>0</v>
      </c>
      <c r="P37" s="35" t="n">
        <v>0</v>
      </c>
      <c r="Q37" s="35" t="n">
        <v>18161.7</v>
      </c>
      <c r="R37" s="35" t="n">
        <v>0</v>
      </c>
      <c r="S37" s="36" t="n">
        <v>81344.39999999999</v>
      </c>
      <c r="T37" s="37" t="inlineStr">
        <is>
          <t>4.4% FC; KTZ freight &amp; passenger (diesel + electricity)</t>
        </is>
      </c>
    </row>
    <row r="38" ht="18" customHeight="1">
      <c r="A38" s="38" t="inlineStr">
        <is>
          <t>Domestic Navigation</t>
        </is>
      </c>
      <c r="B38" s="39" t="inlineStr">
        <is>
          <t>5. FC — TRANSPORT</t>
        </is>
      </c>
      <c r="C38" s="40" t="n">
        <v>0</v>
      </c>
      <c r="D38" s="40" t="n">
        <v>0</v>
      </c>
      <c r="E38" s="40" t="n">
        <v>0</v>
      </c>
      <c r="F38" s="40" t="n">
        <v>0</v>
      </c>
      <c r="G38" s="40" t="n">
        <v>0</v>
      </c>
      <c r="H38" s="40" t="n">
        <v>0</v>
      </c>
      <c r="I38" s="40" t="n">
        <v>0</v>
      </c>
      <c r="J38" s="40" t="n">
        <v>0</v>
      </c>
      <c r="K38" s="40" t="n">
        <v>0</v>
      </c>
      <c r="L38" s="40" t="n">
        <v>0</v>
      </c>
      <c r="M38" s="40" t="n">
        <v>889.4</v>
      </c>
      <c r="N38" s="40" t="n">
        <v>0</v>
      </c>
      <c r="O38" s="40" t="n">
        <v>0</v>
      </c>
      <c r="P38" s="40" t="n">
        <v>0</v>
      </c>
      <c r="Q38" s="40" t="n">
        <v>0</v>
      </c>
      <c r="R38" s="40" t="n">
        <v>0</v>
      </c>
      <c r="S38" s="40" t="n">
        <v>889.4</v>
      </c>
      <c r="T38" s="41" t="inlineStr">
        <is>
          <t>0.05% FC; Caspian Sea + river navigation; kept for IEA comparability</t>
        </is>
      </c>
    </row>
    <row r="39" ht="18" customHeight="1">
      <c r="A39" s="38" t="inlineStr">
        <is>
          <t>Pipeline Transport</t>
        </is>
      </c>
      <c r="B39" s="39" t="inlineStr">
        <is>
          <t>5. FC — TRANSPORT</t>
        </is>
      </c>
      <c r="C39" s="40" t="n">
        <v>0</v>
      </c>
      <c r="D39" s="40" t="n">
        <v>0</v>
      </c>
      <c r="E39" s="40" t="n">
        <v>0</v>
      </c>
      <c r="F39" s="40" t="n">
        <v>0</v>
      </c>
      <c r="G39" s="40" t="n">
        <v>0</v>
      </c>
      <c r="H39" s="40" t="n">
        <v>2390.9</v>
      </c>
      <c r="I39" s="40" t="n">
        <v>47.8</v>
      </c>
      <c r="J39" s="40" t="n">
        <v>0.3</v>
      </c>
      <c r="K39" s="40" t="n">
        <v>0</v>
      </c>
      <c r="L39" s="40" t="n">
        <v>0</v>
      </c>
      <c r="M39" s="40" t="n">
        <v>196</v>
      </c>
      <c r="N39" s="40" t="n">
        <v>0</v>
      </c>
      <c r="O39" s="40" t="n">
        <v>0</v>
      </c>
      <c r="P39" s="40" t="n">
        <v>0</v>
      </c>
      <c r="Q39" s="40" t="n">
        <v>2676.3</v>
      </c>
      <c r="R39" s="40" t="n">
        <v>0</v>
      </c>
      <c r="S39" s="40" t="n">
        <v>5311.3</v>
      </c>
      <c r="T39" s="41" t="inlineStr">
        <is>
          <t>0.3% FC; pipeline pump/compressor stations; separate from oil/gas exports</t>
        </is>
      </c>
    </row>
    <row r="40" ht="18" customHeight="1">
      <c r="A40" s="38" t="inlineStr">
        <is>
          <t>Other Transport</t>
        </is>
      </c>
      <c r="B40" s="39" t="inlineStr">
        <is>
          <t>5. FC — TRANSPORT</t>
        </is>
      </c>
      <c r="C40" s="40" t="n">
        <v>0</v>
      </c>
      <c r="D40" s="40" t="n">
        <v>0</v>
      </c>
      <c r="E40" s="40" t="n">
        <v>0</v>
      </c>
      <c r="F40" s="40" t="n">
        <v>0</v>
      </c>
      <c r="G40" s="40" t="n">
        <v>0</v>
      </c>
      <c r="H40" s="40" t="n">
        <v>0</v>
      </c>
      <c r="I40" s="40" t="n">
        <v>0</v>
      </c>
      <c r="J40" s="40" t="n">
        <v>0</v>
      </c>
      <c r="K40" s="40" t="n">
        <v>0</v>
      </c>
      <c r="L40" s="40" t="n">
        <v>0</v>
      </c>
      <c r="M40" s="40" t="n">
        <v>0</v>
      </c>
      <c r="N40" s="40" t="n">
        <v>0</v>
      </c>
      <c r="O40" s="40" t="n">
        <v>0</v>
      </c>
      <c r="P40" s="40" t="n">
        <v>0</v>
      </c>
      <c r="Q40" s="40" t="n">
        <v>1.2</v>
      </c>
      <c r="R40" s="40" t="n">
        <v>0</v>
      </c>
      <c r="S40" s="40" t="n">
        <v>1.2</v>
      </c>
      <c r="T40" s="41" t="inlineStr">
        <is>
          <t>0.0% FC; unspecified transport NES</t>
        </is>
      </c>
    </row>
    <row r="41" ht="18" customHeight="1">
      <c r="A41" s="33" t="inlineStr">
        <is>
          <t>Residential</t>
        </is>
      </c>
      <c r="B41" s="34" t="inlineStr">
        <is>
          <t>6. FC — OTHER SECTORS</t>
        </is>
      </c>
      <c r="C41" s="35" t="n">
        <v>0</v>
      </c>
      <c r="D41" s="35" t="n">
        <v>96597.89999999999</v>
      </c>
      <c r="E41" s="35" t="n">
        <v>18874</v>
      </c>
      <c r="F41" s="35" t="n">
        <v>0</v>
      </c>
      <c r="G41" s="35" t="n">
        <v>0</v>
      </c>
      <c r="H41" s="35" t="n">
        <v>255284.8</v>
      </c>
      <c r="I41" s="35" t="n">
        <v>0</v>
      </c>
      <c r="J41" s="35" t="n">
        <v>34347.5</v>
      </c>
      <c r="K41" s="35" t="n">
        <v>0</v>
      </c>
      <c r="L41" s="35" t="n">
        <v>0</v>
      </c>
      <c r="M41" s="35" t="n">
        <v>19895.6</v>
      </c>
      <c r="N41" s="35" t="n">
        <v>1</v>
      </c>
      <c r="O41" s="35" t="n">
        <v>0</v>
      </c>
      <c r="P41" s="35" t="n">
        <v>682.6</v>
      </c>
      <c r="Q41" s="35" t="n">
        <v>59783.5</v>
      </c>
      <c r="R41" s="35" t="n">
        <v>197205.8</v>
      </c>
      <c r="S41" s="36" t="n">
        <v>682672.7</v>
      </c>
      <c r="T41" s="37" t="inlineStr">
        <is>
          <t>36.5% FC; district heat &amp; natural gas for household heating</t>
        </is>
      </c>
    </row>
    <row r="42" ht="18" customHeight="1">
      <c r="A42" s="33" t="inlineStr">
        <is>
          <t>Commercial and Public Svcs</t>
        </is>
      </c>
      <c r="B42" s="34" t="inlineStr">
        <is>
          <t>6. FC — OTHER SECTORS</t>
        </is>
      </c>
      <c r="C42" s="35" t="n">
        <v>0</v>
      </c>
      <c r="D42" s="35" t="n">
        <v>3343.7</v>
      </c>
      <c r="E42" s="35" t="n">
        <v>13613.1</v>
      </c>
      <c r="F42" s="35" t="n">
        <v>0</v>
      </c>
      <c r="G42" s="35" t="n">
        <v>0</v>
      </c>
      <c r="H42" s="35" t="n">
        <v>45291.4</v>
      </c>
      <c r="I42" s="35" t="n">
        <v>0</v>
      </c>
      <c r="J42" s="35" t="n">
        <v>6604.1</v>
      </c>
      <c r="K42" s="35" t="n">
        <v>2507.5</v>
      </c>
      <c r="L42" s="35" t="n">
        <v>0</v>
      </c>
      <c r="M42" s="35" t="n">
        <v>3771.7</v>
      </c>
      <c r="N42" s="35" t="n">
        <v>2948.3</v>
      </c>
      <c r="O42" s="35" t="n">
        <v>0</v>
      </c>
      <c r="P42" s="35" t="n">
        <v>170.9</v>
      </c>
      <c r="Q42" s="35" t="n">
        <v>67118</v>
      </c>
      <c r="R42" s="35" t="n">
        <v>63597</v>
      </c>
      <c r="S42" s="36" t="n">
        <v>208965.7</v>
      </c>
      <c r="T42" s="37" t="inlineStr">
        <is>
          <t>11.2% FC; offices, schools, hospitals</t>
        </is>
      </c>
    </row>
    <row r="43" ht="18" customHeight="1">
      <c r="A43" s="38" t="inlineStr">
        <is>
          <t>Agriculture / Forestry</t>
        </is>
      </c>
      <c r="B43" s="39" t="inlineStr">
        <is>
          <t>6. FC — OTHER SECTORS</t>
        </is>
      </c>
      <c r="C43" s="40" t="n">
        <v>0</v>
      </c>
      <c r="D43" s="40" t="n">
        <v>4825.8</v>
      </c>
      <c r="E43" s="40" t="n">
        <v>196.8</v>
      </c>
      <c r="F43" s="40" t="n">
        <v>0</v>
      </c>
      <c r="G43" s="40" t="n">
        <v>0</v>
      </c>
      <c r="H43" s="40" t="n">
        <v>5911.5</v>
      </c>
      <c r="I43" s="40" t="n">
        <v>0</v>
      </c>
      <c r="J43" s="40" t="n">
        <v>845.8</v>
      </c>
      <c r="K43" s="40" t="n">
        <v>0</v>
      </c>
      <c r="L43" s="40" t="n">
        <v>0</v>
      </c>
      <c r="M43" s="40" t="n">
        <v>13189.1</v>
      </c>
      <c r="N43" s="40" t="n">
        <v>12.4</v>
      </c>
      <c r="O43" s="40" t="n">
        <v>0</v>
      </c>
      <c r="P43" s="40" t="n">
        <v>172.5</v>
      </c>
      <c r="Q43" s="40" t="n">
        <v>5299.9</v>
      </c>
      <c r="R43" s="40" t="n">
        <v>2934.6</v>
      </c>
      <c r="S43" s="40" t="n">
        <v>33388.4</v>
      </c>
      <c r="T43" s="41" t="inlineStr">
        <is>
          <t>1.8% FC; diesel for machinery, gas for greenhouses</t>
        </is>
      </c>
    </row>
    <row r="44" ht="18" customHeight="1">
      <c r="A44" s="38" t="inlineStr">
        <is>
          <t>Fisheries</t>
        </is>
      </c>
      <c r="B44" s="39" t="inlineStr">
        <is>
          <t>6. FC — OTHER SECTORS</t>
        </is>
      </c>
      <c r="C44" s="40" t="n">
        <v>0</v>
      </c>
      <c r="D44" s="40" t="n">
        <v>0.8</v>
      </c>
      <c r="E44" s="40" t="n">
        <v>0.4</v>
      </c>
      <c r="F44" s="40" t="n">
        <v>0</v>
      </c>
      <c r="G44" s="40" t="n">
        <v>0</v>
      </c>
      <c r="H44" s="40" t="n">
        <v>8.6</v>
      </c>
      <c r="I44" s="40" t="n">
        <v>0</v>
      </c>
      <c r="J44" s="40" t="n">
        <v>0</v>
      </c>
      <c r="K44" s="40" t="n">
        <v>0</v>
      </c>
      <c r="L44" s="40" t="n">
        <v>0</v>
      </c>
      <c r="M44" s="40" t="n">
        <v>0</v>
      </c>
      <c r="N44" s="40" t="n">
        <v>0</v>
      </c>
      <c r="O44" s="40" t="n">
        <v>0</v>
      </c>
      <c r="P44" s="40" t="n">
        <v>0</v>
      </c>
      <c r="Q44" s="40" t="n">
        <v>68.59999999999999</v>
      </c>
      <c r="R44" s="40" t="n">
        <v>0.2</v>
      </c>
      <c r="S44" s="40" t="n">
        <v>78.59999999999999</v>
      </c>
      <c r="T44" s="41" t="inlineStr">
        <is>
          <t>0.0% FC; Caspian Sea fishing; kept for IEA comparability</t>
        </is>
      </c>
    </row>
    <row r="45" ht="18" customHeight="1">
      <c r="A45" s="38" t="inlineStr">
        <is>
          <t>Other Sectors</t>
        </is>
      </c>
      <c r="B45" s="39" t="inlineStr">
        <is>
          <t>6. FC — OTHER SECTORS</t>
        </is>
      </c>
      <c r="C45" s="40" t="n">
        <v>0</v>
      </c>
      <c r="D45" s="40" t="n">
        <v>0</v>
      </c>
      <c r="E45" s="40" t="n">
        <v>0</v>
      </c>
      <c r="F45" s="40" t="n">
        <v>0</v>
      </c>
      <c r="G45" s="40" t="n">
        <v>0</v>
      </c>
      <c r="H45" s="40" t="n">
        <v>0</v>
      </c>
      <c r="I45" s="40" t="n">
        <v>0</v>
      </c>
      <c r="J45" s="40" t="n">
        <v>0</v>
      </c>
      <c r="K45" s="40" t="n">
        <v>0</v>
      </c>
      <c r="L45" s="40" t="n">
        <v>0</v>
      </c>
      <c r="M45" s="40" t="n">
        <v>0</v>
      </c>
      <c r="N45" s="40" t="n">
        <v>0</v>
      </c>
      <c r="O45" s="40" t="n">
        <v>0</v>
      </c>
      <c r="P45" s="40" t="n">
        <v>0</v>
      </c>
      <c r="Q45" s="40" t="n">
        <v>0</v>
      </c>
      <c r="R45" s="40" t="n">
        <v>0</v>
      </c>
      <c r="S45" s="40" t="n">
        <v>0</v>
      </c>
      <c r="T45" s="41" t="inlineStr">
        <is>
          <t>0.0% FC; non-specified other sectors</t>
        </is>
      </c>
    </row>
    <row r="46" ht="18" customHeight="1">
      <c r="A46" s="42" t="inlineStr">
        <is>
          <t>Non-energy Use</t>
        </is>
      </c>
      <c r="B46" s="43" t="inlineStr">
        <is>
          <t>7. NON-ENERGY USE</t>
        </is>
      </c>
      <c r="C46" s="44" t="n">
        <v>0</v>
      </c>
      <c r="D46" s="44" t="n">
        <v>0</v>
      </c>
      <c r="E46" s="44" t="n">
        <v>0</v>
      </c>
      <c r="F46" s="44" t="n">
        <v>0.06</v>
      </c>
      <c r="G46" s="44" t="n">
        <v>0</v>
      </c>
      <c r="H46" s="44" t="n">
        <v>9984.16</v>
      </c>
      <c r="I46" s="44" t="n">
        <v>0</v>
      </c>
      <c r="J46" s="44" t="n">
        <v>0</v>
      </c>
      <c r="K46" s="44" t="n">
        <v>311.96</v>
      </c>
      <c r="L46" s="44" t="n">
        <v>127.4</v>
      </c>
      <c r="M46" s="44" t="n">
        <v>67.5</v>
      </c>
      <c r="N46" s="44" t="n">
        <v>0</v>
      </c>
      <c r="O46" s="44" t="n">
        <v>53245.42</v>
      </c>
      <c r="P46" s="44" t="n">
        <v>55.39</v>
      </c>
      <c r="Q46" s="44" t="n">
        <v>0</v>
      </c>
      <c r="R46" s="44" t="n">
        <v>0</v>
      </c>
      <c r="S46" s="44" t="n">
        <v>63791.87</v>
      </c>
      <c r="T46" s="45" t="inlineStr">
        <is>
          <t>3.4% FC; bitumen for roads, lubricants, petrochemical feedstocks</t>
        </is>
      </c>
    </row>
    <row r="48">
      <c r="A48" s="46" t="inlineStr">
        <is>
          <t>COLOUR LEGEND</t>
        </is>
      </c>
    </row>
    <row r="49" ht="14" customHeight="1">
      <c r="A49" s="47" t="n"/>
      <c r="B49" s="48" t="inlineStr">
        <is>
          <t>Total Primary Energy Supply</t>
        </is>
      </c>
    </row>
    <row r="50" ht="14" customHeight="1">
      <c r="A50" s="49" t="n"/>
      <c r="B50" s="48" t="inlineStr">
        <is>
          <t>Supply rows (Production, Imports, Exports, Stocks)</t>
        </is>
      </c>
    </row>
    <row r="51" ht="14" customHeight="1">
      <c r="A51" s="50" t="n"/>
      <c r="B51" s="48" t="inlineStr">
        <is>
          <t>Key transformation (CHP — dominant technology)</t>
        </is>
      </c>
    </row>
    <row r="52" ht="14" customHeight="1">
      <c r="A52" s="51" t="n"/>
      <c r="B52" s="48" t="inlineStr">
        <is>
          <t>Transformation NET (negative = consumed, positive = produced)</t>
        </is>
      </c>
    </row>
    <row r="53" ht="14" customHeight="1">
      <c r="A53" s="52" t="n"/>
      <c r="B53" s="48" t="inlineStr">
        <is>
          <t>Energy Own Use &amp; Distribution Losses</t>
        </is>
      </c>
    </row>
    <row r="54" ht="14" customHeight="1">
      <c r="A54" s="53" t="n"/>
      <c r="B54" s="48" t="inlineStr">
        <is>
          <t>Major demand sectors (&gt;10% final consumption)</t>
        </is>
      </c>
    </row>
    <row r="55" ht="14" customHeight="1">
      <c r="A55" s="54" t="n"/>
      <c r="B55" s="48" t="inlineStr">
        <is>
          <t>Other demand sectors</t>
        </is>
      </c>
    </row>
    <row r="56" ht="14" customHeight="1">
      <c r="A56" s="55" t="n"/>
      <c r="B56" s="48" t="inlineStr">
        <is>
          <t>Non-energy use (feedstocks, bitumen, lubricants)</t>
        </is>
      </c>
    </row>
  </sheetData>
  <mergeCells count="11">
    <mergeCell ref="A1:T1"/>
    <mergeCell ref="B56:E56"/>
    <mergeCell ref="B49:E49"/>
    <mergeCell ref="B50:E50"/>
    <mergeCell ref="B53:E53"/>
    <mergeCell ref="A48:D48"/>
    <mergeCell ref="B52:E52"/>
    <mergeCell ref="B54:E54"/>
    <mergeCell ref="B55:E55"/>
    <mergeCell ref="A2:T2"/>
    <mergeCell ref="B51:E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4" customWidth="1" min="4" max="4"/>
    <col width="36" customWidth="1" min="5" max="5"/>
    <col width="36" customWidth="1" min="6" max="6"/>
    <col width="10" customWidth="1" min="7" max="7"/>
    <col width="10" customWidth="1" min="8" max="8"/>
  </cols>
  <sheetData>
    <row r="1" ht="24" customHeight="1">
      <c r="A1" s="56" t="inlineStr">
        <is>
          <t>Materiality Analysis — Kazakhstan Energy Balance 2024</t>
        </is>
      </c>
    </row>
    <row r="3">
      <c r="A3" s="57" t="inlineStr">
        <is>
          <t>A. PRODUCT MATERIALITY (relative to TPES and Final Consumption)</t>
        </is>
      </c>
    </row>
    <row r="4" ht="28" customHeight="1">
      <c r="A4" s="58" t="inlineStr">
        <is>
          <t>Fuel Category</t>
        </is>
      </c>
      <c r="B4" s="58" t="inlineStr">
        <is>
          <t>TPES (TJ)</t>
        </is>
      </c>
      <c r="C4" s="58" t="inlineStr">
        <is>
          <t>% of TPES</t>
        </is>
      </c>
      <c r="D4" s="58" t="inlineStr">
        <is>
          <t>FC (TJ)</t>
        </is>
      </c>
      <c r="E4" s="58" t="inlineStr">
        <is>
          <t>% of FC</t>
        </is>
      </c>
      <c r="F4" s="58" t="inlineStr">
        <is>
          <t>Threshold 3%</t>
        </is>
      </c>
      <c r="G4" s="58" t="inlineStr">
        <is>
          <t>Key Role in Balance</t>
        </is>
      </c>
    </row>
    <row r="5" ht="18" customHeight="1">
      <c r="A5" s="59" t="inlineStr">
        <is>
          <t>Coking Coal</t>
        </is>
      </c>
      <c r="B5" s="60" t="n">
        <v>115905.74</v>
      </c>
      <c r="C5" s="61" t="n">
        <v>3.7</v>
      </c>
      <c r="D5" s="60" t="n">
        <v>0</v>
      </c>
      <c r="E5" s="61" t="n">
        <v>0</v>
      </c>
      <c r="F5" s="59" t="inlineStr">
        <is>
          <t>✓ Above 3%</t>
        </is>
      </c>
      <c r="G5" s="59" t="inlineStr">
        <is>
          <t>8% coal TPES; Karaganda basin → coke ovens → Iron &amp; Steel (ArcelorMittal Temirtau)</t>
        </is>
      </c>
    </row>
    <row r="6" ht="18" customHeight="1">
      <c r="A6" s="59" t="inlineStr">
        <is>
          <t>Steam Coal</t>
        </is>
      </c>
      <c r="B6" s="60" t="n">
        <v>1294567.69</v>
      </c>
      <c r="C6" s="61" t="n">
        <v>41.33</v>
      </c>
      <c r="D6" s="60" t="n">
        <v>166371.21</v>
      </c>
      <c r="E6" s="61" t="n">
        <v>8.9</v>
      </c>
      <c r="F6" s="59" t="inlineStr">
        <is>
          <t>✓ Above 3%</t>
        </is>
      </c>
      <c r="G6" s="59" t="inlineStr">
        <is>
          <t>Dominant: 41% TPES; Ekibastuz thermal coal → power plants, CHPs, industry, residential</t>
        </is>
      </c>
    </row>
    <row r="7" ht="18" customHeight="1">
      <c r="A7" s="62" t="inlineStr">
        <is>
          <t>Lignite</t>
        </is>
      </c>
      <c r="B7" s="63" t="n">
        <v>43790.79</v>
      </c>
      <c r="C7" s="64" t="n">
        <v>1.4</v>
      </c>
      <c r="D7" s="63" t="n">
        <v>33616.34</v>
      </c>
      <c r="E7" s="64" t="n">
        <v>1.8</v>
      </c>
      <c r="F7" s="62" t="inlineStr">
        <is>
          <t>△ Kept (structural)</t>
        </is>
      </c>
      <c r="G7" s="62" t="inlineStr">
        <is>
          <t>1.4% TPES; brown coal → dedicated lignite units; IPCC EF 101 tCO₂/TJ (vs 94.6 steam coal)</t>
        </is>
      </c>
    </row>
    <row r="8" ht="18" customHeight="1">
      <c r="A8" s="62" t="inlineStr">
        <is>
          <t>Coke (Oven Coke)</t>
        </is>
      </c>
      <c r="B8" s="63" t="n">
        <v>15433.92</v>
      </c>
      <c r="C8" s="64" t="n">
        <v>0.49</v>
      </c>
      <c r="D8" s="63" t="n">
        <v>27878.5</v>
      </c>
      <c r="E8" s="64" t="n">
        <v>1.49</v>
      </c>
      <c r="F8" s="62" t="inlineStr">
        <is>
          <t>△ Kept (structural)</t>
        </is>
      </c>
      <c r="G8" s="62" t="inlineStr">
        <is>
          <t>Metallurgical coke (col 4); steel sector at Temirtau</t>
        </is>
      </c>
    </row>
    <row r="9" ht="18" customHeight="1">
      <c r="A9" s="62" t="inlineStr">
        <is>
          <t>Coke Oven &amp; BF Gas</t>
        </is>
      </c>
      <c r="B9" s="63" t="n">
        <v>0</v>
      </c>
      <c r="C9" s="64" t="n">
        <v>0</v>
      </c>
      <c r="D9" s="63" t="n">
        <v>7224.26</v>
      </c>
      <c r="E9" s="64" t="n">
        <v>0.39</v>
      </c>
      <c r="F9" s="62" t="inlineStr">
        <is>
          <t>△ Kept (structural)</t>
        </is>
      </c>
      <c r="G9" s="62" t="inlineStr">
        <is>
          <t>By-product of coking plants; consumed in iron &amp; steel own processes</t>
        </is>
      </c>
    </row>
    <row r="10" ht="18" customHeight="1">
      <c r="A10" s="59" t="inlineStr">
        <is>
          <t>Natural Gas</t>
        </is>
      </c>
      <c r="B10" s="60" t="n">
        <v>1049766.99</v>
      </c>
      <c r="C10" s="61" t="n">
        <v>33.51</v>
      </c>
      <c r="D10" s="60" t="n">
        <v>394395</v>
      </c>
      <c r="E10" s="61" t="n">
        <v>21.1</v>
      </c>
      <c r="F10" s="59" t="inlineStr">
        <is>
          <t>✓ Above 3%</t>
        </is>
      </c>
      <c r="G10" s="59" t="inlineStr">
        <is>
          <t>33% TPES; CHP, heat plants, residential &amp; commercial heating</t>
        </is>
      </c>
    </row>
    <row r="11" ht="18" customHeight="1">
      <c r="A11" s="59" t="inlineStr">
        <is>
          <t>Crude Oil</t>
        </is>
      </c>
      <c r="B11" s="60" t="n">
        <v>663559.83</v>
      </c>
      <c r="C11" s="61" t="n">
        <v>21.18</v>
      </c>
      <c r="D11" s="60" t="n">
        <v>47.8</v>
      </c>
      <c r="E11" s="61" t="n">
        <v>0</v>
      </c>
      <c r="F11" s="59" t="inlineStr">
        <is>
          <t>✓ Above 3%</t>
        </is>
      </c>
      <c r="G11" s="59" t="inlineStr">
        <is>
          <t>21% TPES; almost entirely for refinery input (exported as products)</t>
        </is>
      </c>
    </row>
    <row r="12" ht="18" customHeight="1">
      <c r="A12" s="59" t="inlineStr">
        <is>
          <t>LPG</t>
        </is>
      </c>
      <c r="B12" s="60" t="n">
        <v>-45631.59</v>
      </c>
      <c r="C12" s="61" t="n">
        <v>-1.46</v>
      </c>
      <c r="D12" s="60" t="n">
        <v>62985.19</v>
      </c>
      <c r="E12" s="61" t="n">
        <v>3.37</v>
      </c>
      <c r="F12" s="59" t="inlineStr">
        <is>
          <t>✓ Above 3%</t>
        </is>
      </c>
      <c r="G12" s="59" t="inlineStr">
        <is>
          <t>3.4% FC; residential cooking/heating, road transport (autogas)</t>
        </is>
      </c>
    </row>
    <row r="13" ht="18" customHeight="1">
      <c r="A13" s="59" t="inlineStr">
        <is>
          <t>Gasoline</t>
        </is>
      </c>
      <c r="B13" s="60" t="n">
        <v>-5995.99</v>
      </c>
      <c r="C13" s="61" t="n">
        <v>-0.19</v>
      </c>
      <c r="D13" s="60" t="n">
        <v>236299.73</v>
      </c>
      <c r="E13" s="61" t="n">
        <v>12.64</v>
      </c>
      <c r="F13" s="59" t="inlineStr">
        <is>
          <t>✓ Above 3%</t>
        </is>
      </c>
      <c r="G13" s="59" t="inlineStr">
        <is>
          <t>12.6% FC; road transport dominant fuel</t>
        </is>
      </c>
    </row>
    <row r="14" ht="18" customHeight="1">
      <c r="A14" s="62" t="inlineStr">
        <is>
          <t>Jet Fuel</t>
        </is>
      </c>
      <c r="B14" s="63" t="n">
        <v>-14816.42</v>
      </c>
      <c r="C14" s="64" t="n">
        <v>-0.47</v>
      </c>
      <c r="D14" s="63" t="n">
        <v>16607.3</v>
      </c>
      <c r="E14" s="64" t="n">
        <v>0.89</v>
      </c>
      <c r="F14" s="62" t="inlineStr">
        <is>
          <t>△ Kept (structural)</t>
        </is>
      </c>
      <c r="G14" s="62" t="inlineStr">
        <is>
          <t>0.9% FC; domestic aviation (jet kerosene + jet gasoline)</t>
        </is>
      </c>
    </row>
    <row r="15" ht="18" customHeight="1">
      <c r="A15" s="59" t="inlineStr">
        <is>
          <t>Diesel / Gas Oil</t>
        </is>
      </c>
      <c r="B15" s="60" t="n">
        <v>2592.51</v>
      </c>
      <c r="C15" s="61" t="n">
        <v>0.08</v>
      </c>
      <c r="D15" s="60" t="n">
        <v>236459.77</v>
      </c>
      <c r="E15" s="61" t="n">
        <v>12.65</v>
      </c>
      <c r="F15" s="59" t="inlineStr">
        <is>
          <t>✓ Above 3%</t>
        </is>
      </c>
      <c r="G15" s="59" t="inlineStr">
        <is>
          <t>12.6% FC; road, rail, heating gas oil, construction machinery</t>
        </is>
      </c>
    </row>
    <row r="16" ht="18" customHeight="1">
      <c r="A16" s="62" t="inlineStr">
        <is>
          <t>Heavy Fuel Oil</t>
        </is>
      </c>
      <c r="B16" s="63" t="n">
        <v>-90495.98</v>
      </c>
      <c r="C16" s="64" t="n">
        <v>-2.89</v>
      </c>
      <c r="D16" s="63" t="n">
        <v>11027.12</v>
      </c>
      <c r="E16" s="64" t="n">
        <v>0.59</v>
      </c>
      <c r="F16" s="62" t="inlineStr">
        <is>
          <t>△ Kept (structural)</t>
        </is>
      </c>
      <c r="G16" s="62" t="inlineStr">
        <is>
          <t>Net negative TPES (export); minor in FC; industrial boilers</t>
        </is>
      </c>
    </row>
    <row r="17" ht="18" customHeight="1">
      <c r="A17" s="62" t="inlineStr">
        <is>
          <t>Other Oil Products</t>
        </is>
      </c>
      <c r="B17" s="63" t="n">
        <v>29032.78</v>
      </c>
      <c r="C17" s="64" t="n">
        <v>0.93</v>
      </c>
      <c r="D17" s="63" t="n">
        <v>53245.42</v>
      </c>
      <c r="E17" s="64" t="n">
        <v>2.85</v>
      </c>
      <c r="F17" s="62" t="inlineStr">
        <is>
          <t>△ Kept (structural)</t>
        </is>
      </c>
      <c r="G17" s="62" t="inlineStr">
        <is>
          <t>Mainly non-energy (bitumen for roads, lubricants)</t>
        </is>
      </c>
    </row>
    <row r="18" ht="18" customHeight="1">
      <c r="A18" s="62" t="inlineStr">
        <is>
          <t>Renewables</t>
        </is>
      </c>
      <c r="B18" s="63" t="n">
        <v>65965.14999999999</v>
      </c>
      <c r="C18" s="64" t="n">
        <v>2.11</v>
      </c>
      <c r="D18" s="63" t="n">
        <v>1368.96</v>
      </c>
      <c r="E18" s="64" t="n">
        <v>0.07000000000000001</v>
      </c>
      <c r="F18" s="62" t="inlineStr">
        <is>
          <t>△ Kept (structural)</t>
        </is>
      </c>
      <c r="G18" s="62" t="inlineStr">
        <is>
          <t>2.1% TPES; hydro 62%, wind 24%, solar 10%, biomass/biogas rest</t>
        </is>
      </c>
    </row>
    <row r="19" ht="18" customHeight="1">
      <c r="A19" s="59" t="inlineStr">
        <is>
          <t>Electricity</t>
        </is>
      </c>
      <c r="B19" s="60" t="n">
        <v>8593.799999999999</v>
      </c>
      <c r="C19" s="61" t="n">
        <v>0.27</v>
      </c>
      <c r="D19" s="60" t="n">
        <v>306458.9</v>
      </c>
      <c r="E19" s="61" t="n">
        <v>16.39</v>
      </c>
      <c r="F19" s="59" t="inlineStr">
        <is>
          <t>✓ Above 3%</t>
        </is>
      </c>
      <c r="G19" s="59" t="inlineStr">
        <is>
          <t>Secondary; 16.4% FC — all sectors</t>
        </is>
      </c>
    </row>
    <row r="20" ht="18" customHeight="1">
      <c r="A20" s="59" t="inlineStr">
        <is>
          <t>Heat</t>
        </is>
      </c>
      <c r="B20" s="60" t="n">
        <v>0</v>
      </c>
      <c r="C20" s="61" t="n">
        <v>0</v>
      </c>
      <c r="D20" s="60" t="n">
        <v>315305.71</v>
      </c>
      <c r="E20" s="61" t="n">
        <v>16.87</v>
      </c>
      <c r="F20" s="59" t="inlineStr">
        <is>
          <t>✓ Above 3%</t>
        </is>
      </c>
      <c r="G20" s="59" t="inlineStr">
        <is>
          <t>Secondary; 16.9% FC — dominant in residential &amp; commercial</t>
        </is>
      </c>
    </row>
    <row r="23">
      <c r="A23" s="57" t="inlineStr">
        <is>
          <t>B. SECTOR MATERIALITY (relative to Total Final Consumption)</t>
        </is>
      </c>
    </row>
    <row r="24" ht="28" customHeight="1">
      <c r="A24" s="58" t="inlineStr">
        <is>
          <t>Sector</t>
        </is>
      </c>
      <c r="B24" s="58" t="inlineStr">
        <is>
          <t>FC (TJ)</t>
        </is>
      </c>
      <c r="C24" s="58" t="inlineStr">
        <is>
          <t>% of FC</t>
        </is>
      </c>
      <c r="D24" s="58" t="inlineStr">
        <is>
          <t>Threshold 3%</t>
        </is>
      </c>
      <c r="E24" s="58" t="inlineStr">
        <is>
          <t>Key Fuels</t>
        </is>
      </c>
      <c r="F24" s="58" t="inlineStr">
        <is>
          <t>LEAP Branch</t>
        </is>
      </c>
      <c r="G24" s="58" t="inlineStr"/>
    </row>
    <row r="25" ht="20" customHeight="1">
      <c r="A25" s="59" t="inlineStr">
        <is>
          <t>Iron and Steel</t>
        </is>
      </c>
      <c r="B25" s="60" t="n">
        <v>139394.4</v>
      </c>
      <c r="C25" s="61" t="n">
        <v>7.46</v>
      </c>
      <c r="D25" s="59" t="inlineStr">
        <is>
          <t>✓ Above 3%</t>
        </is>
      </c>
      <c r="E25" s="59" t="inlineStr">
        <is>
          <t>Coke (Oven Coke), Electricity, Nat. Gas</t>
        </is>
      </c>
      <c r="F25" s="59" t="inlineStr">
        <is>
          <t>Demand &gt; Industry &gt; Iron &amp; Steel</t>
        </is>
      </c>
      <c r="G25" s="59" t="inlineStr"/>
    </row>
    <row r="26" ht="20" customHeight="1">
      <c r="A26" s="62" t="inlineStr">
        <is>
          <t>Chemical and Petrochemical</t>
        </is>
      </c>
      <c r="B26" s="63" t="n">
        <v>48407.21</v>
      </c>
      <c r="C26" s="64" t="n">
        <v>2.59</v>
      </c>
      <c r="D26" s="62" t="inlineStr">
        <is>
          <t>△ Kept (structural)</t>
        </is>
      </c>
      <c r="E26" s="62" t="inlineStr">
        <is>
          <t>Natural Gas, Electricity</t>
        </is>
      </c>
      <c r="F26" s="62" t="inlineStr">
        <is>
          <t>Demand &gt; Industry &gt; Chemical</t>
        </is>
      </c>
      <c r="G26" s="62" t="inlineStr"/>
    </row>
    <row r="27" ht="20" customHeight="1">
      <c r="A27" s="62" t="inlineStr">
        <is>
          <t>Non-ferrous Metals</t>
        </is>
      </c>
      <c r="B27" s="63" t="n">
        <v>44877.94</v>
      </c>
      <c r="C27" s="64" t="n">
        <v>2.4</v>
      </c>
      <c r="D27" s="62" t="inlineStr">
        <is>
          <t>△ Kept (structural)</t>
        </is>
      </c>
      <c r="E27" s="62" t="inlineStr">
        <is>
          <t>Electricity</t>
        </is>
      </c>
      <c r="F27" s="62" t="inlineStr">
        <is>
          <t>Demand &gt; Industry &gt; Non-ferrous</t>
        </is>
      </c>
      <c r="G27" s="62" t="inlineStr"/>
    </row>
    <row r="28" ht="20" customHeight="1">
      <c r="A28" s="59" t="inlineStr">
        <is>
          <t>Non-metallic Minerals</t>
        </is>
      </c>
      <c r="B28" s="60" t="n">
        <v>59725.66</v>
      </c>
      <c r="C28" s="61" t="n">
        <v>3.2</v>
      </c>
      <c r="D28" s="59" t="inlineStr">
        <is>
          <t>✓ Above 3%</t>
        </is>
      </c>
      <c r="E28" s="59" t="inlineStr">
        <is>
          <t>Steam Coal, Natural Gas</t>
        </is>
      </c>
      <c r="F28" s="59" t="inlineStr">
        <is>
          <t>Demand &gt; Industry &gt; Non-metallic Min.</t>
        </is>
      </c>
      <c r="G28" s="59" t="inlineStr"/>
    </row>
    <row r="29" ht="20" customHeight="1">
      <c r="A29" s="62" t="inlineStr">
        <is>
          <t>Transport Equipment</t>
        </is>
      </c>
      <c r="B29" s="63" t="n">
        <v>1322.04</v>
      </c>
      <c r="C29" s="64" t="n">
        <v>0.07000000000000001</v>
      </c>
      <c r="D29" s="62" t="inlineStr">
        <is>
          <t>△ Kept (structural)</t>
        </is>
      </c>
      <c r="E29" s="62" t="inlineStr">
        <is>
          <t>Electricity, Natural Gas</t>
        </is>
      </c>
      <c r="F29" s="62" t="inlineStr">
        <is>
          <t>Demand &gt; Industry &gt; Transport Equip.</t>
        </is>
      </c>
      <c r="G29" s="62" t="inlineStr"/>
    </row>
    <row r="30" ht="20" customHeight="1">
      <c r="A30" s="62" t="inlineStr">
        <is>
          <t>Machinery</t>
        </is>
      </c>
      <c r="B30" s="63" t="n">
        <v>5996.7</v>
      </c>
      <c r="C30" s="64" t="n">
        <v>0.32</v>
      </c>
      <c r="D30" s="62" t="inlineStr">
        <is>
          <t>△ Kept (structural)</t>
        </is>
      </c>
      <c r="E30" s="62" t="inlineStr">
        <is>
          <t>Electricity, Natural Gas</t>
        </is>
      </c>
      <c r="F30" s="62" t="inlineStr">
        <is>
          <t>Demand &gt; Industry &gt; Machinery</t>
        </is>
      </c>
      <c r="G30" s="62" t="inlineStr"/>
    </row>
    <row r="31" ht="20" customHeight="1">
      <c r="A31" s="59" t="inlineStr">
        <is>
          <t>Mining and Quarrying</t>
        </is>
      </c>
      <c r="B31" s="60" t="n">
        <v>60712.21</v>
      </c>
      <c r="C31" s="61" t="n">
        <v>3.25</v>
      </c>
      <c r="D31" s="59" t="inlineStr">
        <is>
          <t>✓ Above 3%</t>
        </is>
      </c>
      <c r="E31" s="59" t="inlineStr">
        <is>
          <t>Electricity, Diesel / Gas Oil</t>
        </is>
      </c>
      <c r="F31" s="59" t="inlineStr">
        <is>
          <t>Demand &gt; Industry &gt; Mining</t>
        </is>
      </c>
      <c r="G31" s="59" t="inlineStr"/>
    </row>
    <row r="32" ht="20" customHeight="1">
      <c r="A32" s="62" t="inlineStr">
        <is>
          <t>Food and Tobacco</t>
        </is>
      </c>
      <c r="B32" s="63" t="n">
        <v>28945.27</v>
      </c>
      <c r="C32" s="64" t="n">
        <v>1.55</v>
      </c>
      <c r="D32" s="62" t="inlineStr">
        <is>
          <t>△ Kept (structural)</t>
        </is>
      </c>
      <c r="E32" s="62" t="inlineStr">
        <is>
          <t>Natural Gas, Electricity, Heat</t>
        </is>
      </c>
      <c r="F32" s="62" t="inlineStr">
        <is>
          <t>Demand &gt; Industry &gt; Food &amp; Tobacco</t>
        </is>
      </c>
      <c r="G32" s="62" t="inlineStr"/>
    </row>
    <row r="33" ht="20" customHeight="1">
      <c r="A33" s="62" t="inlineStr">
        <is>
          <t>Paper, Pulp and Print</t>
        </is>
      </c>
      <c r="B33" s="63" t="n">
        <v>3132.35</v>
      </c>
      <c r="C33" s="64" t="n">
        <v>0.17</v>
      </c>
      <c r="D33" s="62" t="inlineStr">
        <is>
          <t>△ Kept (structural)</t>
        </is>
      </c>
      <c r="E33" s="62" t="inlineStr">
        <is>
          <t>Electricity, Heat</t>
        </is>
      </c>
      <c r="F33" s="62" t="inlineStr">
        <is>
          <t>Demand &gt; Industry &gt; Paper</t>
        </is>
      </c>
      <c r="G33" s="62" t="inlineStr"/>
    </row>
    <row r="34" ht="20" customHeight="1">
      <c r="A34" s="62" t="inlineStr">
        <is>
          <t>Wood and Wood Products</t>
        </is>
      </c>
      <c r="B34" s="63" t="n">
        <v>164.49</v>
      </c>
      <c r="C34" s="64" t="n">
        <v>0.01</v>
      </c>
      <c r="D34" s="62" t="inlineStr">
        <is>
          <t>△ Kept (structural)</t>
        </is>
      </c>
      <c r="E34" s="62" t="inlineStr">
        <is>
          <t>Electricity</t>
        </is>
      </c>
      <c r="F34" s="62" t="inlineStr">
        <is>
          <t>Demand &gt; Industry &gt; Wood</t>
        </is>
      </c>
      <c r="G34" s="62" t="inlineStr"/>
    </row>
    <row r="35" ht="20" customHeight="1">
      <c r="A35" s="62" t="inlineStr">
        <is>
          <t>Construction</t>
        </is>
      </c>
      <c r="B35" s="63" t="n">
        <v>19431.49</v>
      </c>
      <c r="C35" s="64" t="n">
        <v>1.04</v>
      </c>
      <c r="D35" s="62" t="inlineStr">
        <is>
          <t>△ Kept (structural)</t>
        </is>
      </c>
      <c r="E35" s="62" t="inlineStr">
        <is>
          <t>Diesel / Gas Oil, Electricity</t>
        </is>
      </c>
      <c r="F35" s="62" t="inlineStr">
        <is>
          <t>Demand &gt; Industry &gt; Construction</t>
        </is>
      </c>
      <c r="G35" s="62" t="inlineStr"/>
    </row>
    <row r="36" ht="20" customHeight="1">
      <c r="A36" s="62" t="inlineStr">
        <is>
          <t>Textile and Leather</t>
        </is>
      </c>
      <c r="B36" s="63" t="n">
        <v>606.97</v>
      </c>
      <c r="C36" s="64" t="n">
        <v>0.03</v>
      </c>
      <c r="D36" s="62" t="inlineStr">
        <is>
          <t>△ Kept (structural)</t>
        </is>
      </c>
      <c r="E36" s="62" t="inlineStr">
        <is>
          <t>Electricity, Natural Gas</t>
        </is>
      </c>
      <c r="F36" s="62" t="inlineStr">
        <is>
          <t>Demand &gt; Industry &gt; Textile</t>
        </is>
      </c>
      <c r="G36" s="62" t="inlineStr"/>
    </row>
    <row r="37" ht="20" customHeight="1">
      <c r="A37" s="62" t="inlineStr">
        <is>
          <t>Non-specified Industry</t>
        </is>
      </c>
      <c r="B37" s="63" t="n">
        <v>1719.9</v>
      </c>
      <c r="C37" s="64" t="n">
        <v>0.09</v>
      </c>
      <c r="D37" s="62" t="inlineStr">
        <is>
          <t>△ Kept (structural)</t>
        </is>
      </c>
      <c r="E37" s="62" t="inlineStr">
        <is>
          <t>Mixed</t>
        </is>
      </c>
      <c r="F37" s="62" t="inlineStr">
        <is>
          <t>Demand &gt; Industry &gt; Non-specified</t>
        </is>
      </c>
      <c r="G37" s="62" t="inlineStr"/>
    </row>
    <row r="38" ht="20" customHeight="1">
      <c r="A38" s="62" t="inlineStr">
        <is>
          <t>Aviation</t>
        </is>
      </c>
      <c r="B38" s="63" t="n">
        <v>17123</v>
      </c>
      <c r="C38" s="64" t="n">
        <v>0.92</v>
      </c>
      <c r="D38" s="62" t="inlineStr">
        <is>
          <t>△ Kept (structural)</t>
        </is>
      </c>
      <c r="E38" s="62" t="inlineStr">
        <is>
          <t>Jet Fuel</t>
        </is>
      </c>
      <c r="F38" s="62" t="inlineStr">
        <is>
          <t>Demand &gt; Transport &gt; Aviation</t>
        </is>
      </c>
      <c r="G38" s="62" t="inlineStr"/>
    </row>
    <row r="39" ht="20" customHeight="1">
      <c r="A39" s="59" t="inlineStr">
        <is>
          <t>Road</t>
        </is>
      </c>
      <c r="B39" s="60" t="n">
        <v>361288</v>
      </c>
      <c r="C39" s="61" t="n">
        <v>19.33</v>
      </c>
      <c r="D39" s="59" t="inlineStr">
        <is>
          <t>✓ Above 3%</t>
        </is>
      </c>
      <c r="E39" s="59" t="inlineStr">
        <is>
          <t>Gasoline, Diesel / Gas Oil, LPG</t>
        </is>
      </c>
      <c r="F39" s="59" t="inlineStr">
        <is>
          <t>Demand &gt; Transport &gt; Road</t>
        </is>
      </c>
      <c r="G39" s="59" t="inlineStr"/>
    </row>
    <row r="40" ht="20" customHeight="1">
      <c r="A40" s="59" t="inlineStr">
        <is>
          <t>Rail</t>
        </is>
      </c>
      <c r="B40" s="60" t="n">
        <v>81344.39999999999</v>
      </c>
      <c r="C40" s="61" t="n">
        <v>4.35</v>
      </c>
      <c r="D40" s="59" t="inlineStr">
        <is>
          <t>✓ Above 3%</t>
        </is>
      </c>
      <c r="E40" s="59" t="inlineStr">
        <is>
          <t>Diesel / Gas Oil, Electricity</t>
        </is>
      </c>
      <c r="F40" s="59" t="inlineStr">
        <is>
          <t>Demand &gt; Transport &gt; Rail</t>
        </is>
      </c>
      <c r="G40" s="59" t="inlineStr"/>
    </row>
    <row r="41" ht="20" customHeight="1">
      <c r="A41" s="62" t="inlineStr">
        <is>
          <t>Domestic Navigation</t>
        </is>
      </c>
      <c r="B41" s="63" t="n">
        <v>889.4</v>
      </c>
      <c r="C41" s="64" t="n">
        <v>0.05</v>
      </c>
      <c r="D41" s="62" t="inlineStr">
        <is>
          <t>△ Kept (structural)</t>
        </is>
      </c>
      <c r="E41" s="62" t="inlineStr">
        <is>
          <t>Diesel / Gas Oil</t>
        </is>
      </c>
      <c r="F41" s="62" t="inlineStr">
        <is>
          <t>Demand &gt; Transport &gt; Navigation</t>
        </is>
      </c>
      <c r="G41" s="62" t="inlineStr"/>
    </row>
    <row r="42" ht="20" customHeight="1">
      <c r="A42" s="62" t="inlineStr">
        <is>
          <t>Pipeline Transport</t>
        </is>
      </c>
      <c r="B42" s="63" t="n">
        <v>5311.3</v>
      </c>
      <c r="C42" s="64" t="n">
        <v>0.28</v>
      </c>
      <c r="D42" s="62" t="inlineStr">
        <is>
          <t>△ Kept (structural)</t>
        </is>
      </c>
      <c r="E42" s="62" t="inlineStr">
        <is>
          <t>Natural Gas, Electricity</t>
        </is>
      </c>
      <c r="F42" s="62" t="inlineStr">
        <is>
          <t>Demand &gt; Transport &gt; Pipeline</t>
        </is>
      </c>
      <c r="G42" s="62" t="inlineStr"/>
    </row>
    <row r="43" ht="20" customHeight="1">
      <c r="A43" s="62" t="inlineStr">
        <is>
          <t>Other Transport</t>
        </is>
      </c>
      <c r="B43" s="63" t="n">
        <v>1.2</v>
      </c>
      <c r="C43" s="64" t="n">
        <v>0</v>
      </c>
      <c r="D43" s="62" t="inlineStr">
        <is>
          <t>△ Kept (structural)</t>
        </is>
      </c>
      <c r="E43" s="62" t="inlineStr">
        <is>
          <t>Mixed</t>
        </is>
      </c>
      <c r="F43" s="62" t="inlineStr">
        <is>
          <t>Demand &gt; Transport &gt; Other</t>
        </is>
      </c>
      <c r="G43" s="62" t="inlineStr"/>
    </row>
    <row r="44" ht="20" customHeight="1">
      <c r="A44" s="59" t="inlineStr">
        <is>
          <t>Residential</t>
        </is>
      </c>
      <c r="B44" s="60" t="n">
        <v>682672.7</v>
      </c>
      <c r="C44" s="61" t="n">
        <v>36.52</v>
      </c>
      <c r="D44" s="59" t="inlineStr">
        <is>
          <t>✓ Above 3%</t>
        </is>
      </c>
      <c r="E44" s="59" t="inlineStr">
        <is>
          <t>Heat, Natural Gas, Steam Coal, Electricity</t>
        </is>
      </c>
      <c r="F44" s="59" t="inlineStr">
        <is>
          <t>Demand &gt; Buildings &gt; Residential</t>
        </is>
      </c>
      <c r="G44" s="59" t="inlineStr"/>
    </row>
    <row r="45" ht="20" customHeight="1">
      <c r="A45" s="59" t="inlineStr">
        <is>
          <t>Commercial and Public Svcs</t>
        </is>
      </c>
      <c r="B45" s="60" t="n">
        <v>208965.7</v>
      </c>
      <c r="C45" s="61" t="n">
        <v>11.18</v>
      </c>
      <c r="D45" s="59" t="inlineStr">
        <is>
          <t>✓ Above 3%</t>
        </is>
      </c>
      <c r="E45" s="59" t="inlineStr">
        <is>
          <t>Heat, Electricity, Natural Gas</t>
        </is>
      </c>
      <c r="F45" s="59" t="inlineStr">
        <is>
          <t>Demand &gt; Buildings &gt; Commercial</t>
        </is>
      </c>
      <c r="G45" s="59" t="inlineStr"/>
    </row>
    <row r="46" ht="20" customHeight="1">
      <c r="A46" s="62" t="inlineStr">
        <is>
          <t>Agriculture / Forestry</t>
        </is>
      </c>
      <c r="B46" s="63" t="n">
        <v>33388.4</v>
      </c>
      <c r="C46" s="64" t="n">
        <v>1.79</v>
      </c>
      <c r="D46" s="62" t="inlineStr">
        <is>
          <t>△ Kept (structural)</t>
        </is>
      </c>
      <c r="E46" s="62" t="inlineStr">
        <is>
          <t>Diesel / Gas Oil, Natural Gas</t>
        </is>
      </c>
      <c r="F46" s="62" t="inlineStr">
        <is>
          <t>Demand &gt; Agriculture</t>
        </is>
      </c>
      <c r="G46" s="62" t="inlineStr"/>
    </row>
    <row r="47" ht="20" customHeight="1">
      <c r="A47" s="62" t="inlineStr">
        <is>
          <t>Fisheries</t>
        </is>
      </c>
      <c r="B47" s="63" t="n">
        <v>78.59999999999999</v>
      </c>
      <c r="C47" s="64" t="n">
        <v>0</v>
      </c>
      <c r="D47" s="62" t="inlineStr">
        <is>
          <t>△ Kept (structural)</t>
        </is>
      </c>
      <c r="E47" s="62" t="inlineStr">
        <is>
          <t>Diesel / Gas Oil</t>
        </is>
      </c>
      <c r="F47" s="62" t="inlineStr">
        <is>
          <t>Demand &gt; Fisheries</t>
        </is>
      </c>
      <c r="G47" s="62" t="inlineStr"/>
    </row>
    <row r="48" ht="20" customHeight="1">
      <c r="A48" s="62" t="inlineStr">
        <is>
          <t>Other Sectors</t>
        </is>
      </c>
      <c r="B48" s="63" t="n">
        <v>0</v>
      </c>
      <c r="C48" s="64" t="n">
        <v>0</v>
      </c>
      <c r="D48" s="62" t="inlineStr">
        <is>
          <t>△ Kept (structural)</t>
        </is>
      </c>
      <c r="E48" s="62" t="inlineStr">
        <is>
          <t>—</t>
        </is>
      </c>
      <c r="F48" s="62" t="inlineStr">
        <is>
          <t>Demand &gt; Other Sectors</t>
        </is>
      </c>
      <c r="G48" s="62" t="inlineStr"/>
    </row>
    <row r="49" ht="20" customHeight="1">
      <c r="A49" s="65" t="inlineStr">
        <is>
          <t>Non-energy Use</t>
        </is>
      </c>
      <c r="B49" s="66" t="n">
        <v>63791.87</v>
      </c>
      <c r="C49" s="67" t="n">
        <v>3.41</v>
      </c>
      <c r="D49" s="65" t="inlineStr">
        <is>
          <t>✓ Above 3%</t>
        </is>
      </c>
      <c r="E49" s="65" t="inlineStr">
        <is>
          <t>Other Oil Products (bitumen, lubricants)</t>
        </is>
      </c>
      <c r="F49" s="65" t="inlineStr">
        <is>
          <t>Resources &gt; Non-energy feedstocks</t>
        </is>
      </c>
      <c r="G49" s="65" t="inlineStr"/>
    </row>
    <row r="51" ht="48" customHeight="1">
      <c r="A51" s="68" t="inlineStr">
        <is>
          <t>Methodology: Products and sectors below the 3% materiality threshold are merged into catch-all categories (Other Industry, Other Transport, Other Sectors). Exceptions are made for structurally important categories (Coking Coal for steel, Chemical for petrochemicals, Non-ferrous Metals for copper/aluminium) that are critical for policy analysis even if below 3%.</t>
        </is>
      </c>
    </row>
  </sheetData>
  <mergeCells count="4">
    <mergeCell ref="A23:H23"/>
    <mergeCell ref="A3:H3"/>
    <mergeCell ref="A51:H5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54" customWidth="1" min="19" max="19"/>
  </cols>
  <sheetData>
    <row r="1" ht="24" customHeight="1">
      <c r="A1" s="56" t="inlineStr">
        <is>
          <t>Transformation Sector — Fuel Flow Detail</t>
        </is>
      </c>
    </row>
    <row r="2">
      <c r="A2" s="2" t="inlineStr">
        <is>
          <t>NET values: negative = fuel consumed by this technology  |  positive = energy carrier produced  |  Unit: TJ</t>
        </is>
      </c>
    </row>
    <row r="3" ht="36" customHeight="1">
      <c r="A3" s="58" t="inlineStr">
        <is>
          <t>Technology</t>
        </is>
      </c>
      <c r="B3" s="58" t="inlineStr">
        <is>
          <t>Coking Coal</t>
        </is>
      </c>
      <c r="C3" s="58" t="inlineStr">
        <is>
          <t>Steam Coal</t>
        </is>
      </c>
      <c r="D3" s="58" t="inlineStr">
        <is>
          <t>Lignite</t>
        </is>
      </c>
      <c r="E3" s="58" t="inlineStr">
        <is>
          <t>Coke (Oven Coke)</t>
        </is>
      </c>
      <c r="F3" s="58" t="inlineStr">
        <is>
          <t>Coke Oven &amp; BF Gas</t>
        </is>
      </c>
      <c r="G3" s="58" t="inlineStr">
        <is>
          <t>Natural Gas</t>
        </is>
      </c>
      <c r="H3" s="58" t="inlineStr">
        <is>
          <t>Crude Oil</t>
        </is>
      </c>
      <c r="I3" s="58" t="inlineStr">
        <is>
          <t>LPG</t>
        </is>
      </c>
      <c r="J3" s="58" t="inlineStr">
        <is>
          <t>Gasoline</t>
        </is>
      </c>
      <c r="K3" s="58" t="inlineStr">
        <is>
          <t>Jet Fuel</t>
        </is>
      </c>
      <c r="L3" s="58" t="inlineStr">
        <is>
          <t>Diesel / Gas Oil</t>
        </is>
      </c>
      <c r="M3" s="58" t="inlineStr">
        <is>
          <t>Heavy Fuel Oil</t>
        </is>
      </c>
      <c r="N3" s="58" t="inlineStr">
        <is>
          <t>Other Oil Products</t>
        </is>
      </c>
      <c r="O3" s="58" t="inlineStr">
        <is>
          <t>Renewables</t>
        </is>
      </c>
      <c r="P3" s="58" t="inlineStr">
        <is>
          <t>Electricity</t>
        </is>
      </c>
      <c r="Q3" s="58" t="inlineStr">
        <is>
          <t>Heat</t>
        </is>
      </c>
      <c r="R3" s="58" t="inlineStr">
        <is>
          <t>Total</t>
        </is>
      </c>
      <c r="S3" s="69" t="inlineStr">
        <is>
          <t>What happens here</t>
        </is>
      </c>
    </row>
    <row r="4" ht="18" customHeight="1">
      <c r="A4" s="70" t="inlineStr">
        <is>
          <t>Electricity Plants</t>
        </is>
      </c>
      <c r="B4" s="19" t="n">
        <v>0</v>
      </c>
      <c r="C4" s="19" t="n">
        <v>-528.9</v>
      </c>
      <c r="D4" s="19" t="n">
        <v>0</v>
      </c>
      <c r="E4" s="19" t="n">
        <v>0</v>
      </c>
      <c r="F4" s="19" t="n">
        <v>0</v>
      </c>
      <c r="G4" s="20" t="n">
        <v>-210123.1</v>
      </c>
      <c r="H4" s="19" t="n">
        <v>0</v>
      </c>
      <c r="I4" s="19" t="n">
        <v>-7.1</v>
      </c>
      <c r="J4" s="19" t="n">
        <v>0</v>
      </c>
      <c r="K4" s="19" t="n">
        <v>0</v>
      </c>
      <c r="L4" s="19" t="n">
        <v>-946.9</v>
      </c>
      <c r="M4" s="19" t="n">
        <v>-68.2</v>
      </c>
      <c r="N4" s="19" t="n">
        <v>0</v>
      </c>
      <c r="O4" s="20" t="n">
        <v>-63472</v>
      </c>
      <c r="P4" s="71" t="n">
        <v>120612.9</v>
      </c>
      <c r="Q4" s="19" t="n">
        <v>0</v>
      </c>
      <c r="R4" s="20" t="n">
        <v>-154533.3</v>
      </c>
      <c r="S4" s="72" t="inlineStr">
        <is>
          <t>Pure electricity plants (mainly auto-producers; most KZ capacity is CHP)</t>
        </is>
      </c>
    </row>
    <row r="5" ht="18" customHeight="1">
      <c r="A5" s="73" t="inlineStr">
        <is>
          <t>CHP Plants</t>
        </is>
      </c>
      <c r="B5" s="74" t="n">
        <v>0</v>
      </c>
      <c r="C5" s="26" t="n">
        <v>-1079702.6</v>
      </c>
      <c r="D5" s="74" t="n">
        <v>0</v>
      </c>
      <c r="E5" s="74" t="n">
        <v>0</v>
      </c>
      <c r="F5" s="74" t="n">
        <v>0</v>
      </c>
      <c r="G5" s="26" t="n">
        <v>-238070.2</v>
      </c>
      <c r="H5" s="74" t="n">
        <v>0</v>
      </c>
      <c r="I5" s="74" t="n">
        <v>-0.5</v>
      </c>
      <c r="J5" s="74" t="n">
        <v>0</v>
      </c>
      <c r="K5" s="74" t="n">
        <v>0</v>
      </c>
      <c r="L5" s="74" t="n">
        <v>-53.8</v>
      </c>
      <c r="M5" s="26" t="n">
        <v>-7450.2</v>
      </c>
      <c r="N5" s="74" t="n">
        <v>0</v>
      </c>
      <c r="O5" s="74" t="n">
        <v>0</v>
      </c>
      <c r="P5" s="75" t="n">
        <v>306766.8</v>
      </c>
      <c r="Q5" s="75" t="n">
        <v>246677.3</v>
      </c>
      <c r="R5" s="26" t="n">
        <v>-771833.2</v>
      </c>
      <c r="S5" s="76" t="inlineStr">
        <is>
          <t>Combined Heat &amp; Power — largest consumer: ~1.08 PJ coal, 238 TJ gas</t>
        </is>
      </c>
    </row>
    <row r="6" ht="18" customHeight="1">
      <c r="A6" s="70" t="inlineStr">
        <is>
          <t>Heat Plants</t>
        </is>
      </c>
      <c r="B6" s="19" t="n">
        <v>0</v>
      </c>
      <c r="C6" s="20" t="n">
        <v>-82597.3</v>
      </c>
      <c r="D6" s="20" t="n">
        <v>-3689.1</v>
      </c>
      <c r="E6" s="19" t="n">
        <v>0</v>
      </c>
      <c r="F6" s="19" t="n">
        <v>0</v>
      </c>
      <c r="G6" s="20" t="n">
        <v>-108501.6</v>
      </c>
      <c r="H6" s="19" t="n">
        <v>0</v>
      </c>
      <c r="I6" s="20" t="n">
        <v>-12324.5</v>
      </c>
      <c r="J6" s="19" t="n">
        <v>0</v>
      </c>
      <c r="K6" s="19" t="n">
        <v>0</v>
      </c>
      <c r="L6" s="20" t="n">
        <v>-1019.5</v>
      </c>
      <c r="M6" s="20" t="n">
        <v>-9450.1</v>
      </c>
      <c r="N6" s="19" t="n">
        <v>0</v>
      </c>
      <c r="O6" s="19" t="n">
        <v>-857.7</v>
      </c>
      <c r="P6" s="19" t="n">
        <v>0</v>
      </c>
      <c r="Q6" s="71" t="n">
        <v>149518.2</v>
      </c>
      <c r="R6" s="20" t="n">
        <v>-68921.60000000001</v>
      </c>
      <c r="S6" s="72" t="inlineStr">
        <is>
          <t>District heating boilers (kotelnye) — coal &amp; gas fired</t>
        </is>
      </c>
    </row>
    <row r="7" ht="18" customHeight="1">
      <c r="A7" s="70" t="inlineStr">
        <is>
          <t>Coal Transformation</t>
        </is>
      </c>
      <c r="B7" s="20" t="n">
        <v>-123166.1</v>
      </c>
      <c r="C7" s="19" t="n">
        <v>0</v>
      </c>
      <c r="D7" s="19" t="n">
        <v>0</v>
      </c>
      <c r="E7" s="71" t="n">
        <v>13185.3</v>
      </c>
      <c r="F7" s="71" t="n">
        <v>31684.6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20" t="n">
        <v>-4794.1</v>
      </c>
      <c r="N7" s="71" t="n">
        <v>5496.4</v>
      </c>
      <c r="O7" s="19" t="n">
        <v>0</v>
      </c>
      <c r="P7" s="19" t="n">
        <v>0</v>
      </c>
      <c r="Q7" s="19" t="n">
        <v>0</v>
      </c>
      <c r="R7" s="20" t="n">
        <v>-77593.89999999999</v>
      </c>
      <c r="S7" s="72" t="inlineStr">
        <is>
          <t>Coking ovens + briquetting: coal in (−) → coke + coke-oven gas + BFG out (+)</t>
        </is>
      </c>
    </row>
    <row r="8" ht="18" customHeight="1">
      <c r="A8" s="70" t="inlineStr">
        <is>
          <t>Oil Refineries</t>
        </is>
      </c>
      <c r="B8" s="19" t="n">
        <v>0</v>
      </c>
      <c r="C8" s="19" t="n">
        <v>0</v>
      </c>
      <c r="D8" s="19" t="n">
        <v>0</v>
      </c>
      <c r="E8" s="19" t="n">
        <v>0</v>
      </c>
      <c r="F8" s="19" t="n">
        <v>0</v>
      </c>
      <c r="G8" s="71" t="n">
        <v>44473.2</v>
      </c>
      <c r="H8" s="20" t="n">
        <v>-700832.7</v>
      </c>
      <c r="I8" s="71" t="n">
        <v>27970.5</v>
      </c>
      <c r="J8" s="71" t="n">
        <v>240839.9</v>
      </c>
      <c r="K8" s="71" t="n">
        <v>32475.3</v>
      </c>
      <c r="L8" s="71" t="n">
        <v>231755.5</v>
      </c>
      <c r="M8" s="71" t="n">
        <v>102052.3</v>
      </c>
      <c r="N8" s="71" t="n">
        <v>16832.4</v>
      </c>
      <c r="O8" s="19" t="n">
        <v>0</v>
      </c>
      <c r="P8" s="19" t="n">
        <v>0</v>
      </c>
      <c r="Q8" s="19" t="n">
        <v>0</v>
      </c>
      <c r="R8" s="20" t="n">
        <v>-4433.6</v>
      </c>
      <c r="S8" s="72" t="inlineStr">
        <is>
          <t>700 PJ crude in → gasoline, diesel, HFO, LPG out</t>
        </is>
      </c>
    </row>
    <row r="9" ht="18" customHeight="1">
      <c r="A9" s="70" t="inlineStr">
        <is>
          <t>Gas Processing</t>
        </is>
      </c>
      <c r="B9" s="19" t="n">
        <v>0</v>
      </c>
      <c r="C9" s="19" t="n">
        <v>0</v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71" t="n">
        <v>100637.4</v>
      </c>
      <c r="J9" s="19" t="n">
        <v>0</v>
      </c>
      <c r="K9" s="19" t="n">
        <v>0</v>
      </c>
      <c r="L9" s="19" t="n">
        <v>0</v>
      </c>
      <c r="M9" s="19" t="n">
        <v>0</v>
      </c>
      <c r="N9" s="19" t="n">
        <v>0</v>
      </c>
      <c r="O9" s="19" t="n">
        <v>0</v>
      </c>
      <c r="P9" s="19" t="n">
        <v>0</v>
      </c>
      <c r="Q9" s="19" t="n">
        <v>0</v>
      </c>
      <c r="R9" s="71" t="n">
        <v>100637.4</v>
      </c>
      <c r="S9" s="72" t="inlineStr">
        <is>
          <t>Associated gas processing → LPG/condensate (feedstock via Transfers)</t>
        </is>
      </c>
    </row>
    <row r="10" ht="18" customHeight="1">
      <c r="A10" s="70" t="inlineStr">
        <is>
          <t>Charcoal Production</t>
        </is>
      </c>
      <c r="B10" s="19" t="n">
        <v>0</v>
      </c>
      <c r="C10" s="19" t="n">
        <v>0</v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-55.6</v>
      </c>
      <c r="P10" s="19" t="n">
        <v>0</v>
      </c>
      <c r="Q10" s="19" t="n">
        <v>0</v>
      </c>
      <c r="R10" s="19" t="n">
        <v>-55.6</v>
      </c>
      <c r="S10" s="72" t="inlineStr">
        <is>
          <t>Tiny (159 TJ in → 104 TJ out); kept for IEA comparability</t>
        </is>
      </c>
    </row>
    <row r="11" ht="18" customHeight="1">
      <c r="A11" s="70" t="inlineStr">
        <is>
          <t>Non-specified Transform</t>
        </is>
      </c>
      <c r="B11" s="19" t="n">
        <v>0</v>
      </c>
      <c r="C11" s="19" t="n">
        <v>0</v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0</v>
      </c>
      <c r="Q11" s="19" t="n">
        <v>0</v>
      </c>
      <c r="R11" s="19" t="n">
        <v>0</v>
      </c>
      <c r="S11" s="72" t="inlineStr">
        <is>
          <t>Other transformation not elsewhere classified</t>
        </is>
      </c>
    </row>
    <row r="12" ht="18" customHeight="1">
      <c r="A12" s="28" t="inlineStr">
        <is>
          <t>Energy Industry Own Use</t>
        </is>
      </c>
      <c r="B12" s="30" t="n">
        <v>0</v>
      </c>
      <c r="C12" s="31" t="n">
        <v>-3819.1</v>
      </c>
      <c r="D12" s="31" t="n">
        <v>-4266.09</v>
      </c>
      <c r="E12" s="30" t="n">
        <v>0</v>
      </c>
      <c r="F12" s="31" t="n">
        <v>-22279.55</v>
      </c>
      <c r="G12" s="31" t="n">
        <v>-171255.17</v>
      </c>
      <c r="H12" s="31" t="n">
        <v>-3665.18</v>
      </c>
      <c r="I12" s="30" t="n">
        <v>-322.92</v>
      </c>
      <c r="J12" s="30" t="n">
        <v>-756.27</v>
      </c>
      <c r="K12" s="30" t="n">
        <v>-120.44</v>
      </c>
      <c r="L12" s="31" t="n">
        <v>-4111.3</v>
      </c>
      <c r="M12" s="30" t="n">
        <v>-934.28</v>
      </c>
      <c r="N12" s="31" t="n">
        <v>-3759.35</v>
      </c>
      <c r="O12" s="30" t="n">
        <v>0</v>
      </c>
      <c r="P12" s="31" t="n">
        <v>-92181.88</v>
      </c>
      <c r="Q12" s="31" t="n">
        <v>-49315.81</v>
      </c>
      <c r="R12" s="31" t="n">
        <v>-356787.33</v>
      </c>
      <c r="S12" s="77" t="inlineStr">
        <is>
          <t>Fuel consumed by coal mines, O&amp;G extraction, power plants for own operation</t>
        </is>
      </c>
    </row>
    <row r="13" ht="18" customHeight="1">
      <c r="A13" s="28" t="inlineStr">
        <is>
          <t>Distribution Losses</t>
        </is>
      </c>
      <c r="B13" s="30" t="n">
        <v>0</v>
      </c>
      <c r="C13" s="30" t="n">
        <v>-401</v>
      </c>
      <c r="D13" s="30" t="n">
        <v>-121.9</v>
      </c>
      <c r="E13" s="30" t="n">
        <v>-78.90000000000001</v>
      </c>
      <c r="F13" s="31" t="n">
        <v>-2180.8</v>
      </c>
      <c r="G13" s="31" t="n">
        <v>-21214.3</v>
      </c>
      <c r="H13" s="31" t="n">
        <v>-6046.2</v>
      </c>
      <c r="I13" s="31" t="n">
        <v>-1311.8</v>
      </c>
      <c r="J13" s="31" t="n">
        <v>-1343.5</v>
      </c>
      <c r="K13" s="30" t="n">
        <v>-13.4</v>
      </c>
      <c r="L13" s="30" t="n">
        <v>-244.5</v>
      </c>
      <c r="M13" s="30" t="n">
        <v>-0.8</v>
      </c>
      <c r="N13" s="30" t="n">
        <v>-317.4</v>
      </c>
      <c r="O13" s="30" t="n">
        <v>-0.1</v>
      </c>
      <c r="P13" s="31" t="n">
        <v>-37332.6</v>
      </c>
      <c r="Q13" s="31" t="n">
        <v>-31573.9</v>
      </c>
      <c r="R13" s="31" t="n">
        <v>-102181.1</v>
      </c>
      <c r="S13" s="77" t="inlineStr">
        <is>
          <t>Electricity grid losses + heat network losses + pipeline losses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2026-05-13T10:45:40Z</dcterms:created>
  <dcterms:modified xsi:type="dcterms:W3CDTF">2026-05-13T10:45:40Z</dcterms:modified>
</cp:coreProperties>
</file>